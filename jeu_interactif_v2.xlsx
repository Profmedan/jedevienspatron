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imulation" sheetId="1" state="visible" r:id="rId1"/>
    <sheet xmlns:r="http://schemas.openxmlformats.org/officeDocument/2006/relationships" name="Donné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-#,##0;\-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</fonts>
  <fills count="12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D9D9D9"/>
        <bgColor rgb="FFDEEAF1"/>
      </patternFill>
    </fill>
    <fill>
      <patternFill patternType="solid">
        <fgColor rgb="FFDEEAF1"/>
        <bgColor rgb="FFE2EFDA"/>
      </patternFill>
    </fill>
    <fill>
      <patternFill patternType="solid">
        <fgColor rgb="FFBDD7EE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AF1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bottom"/>
    </xf>
    <xf numFmtId="164" fontId="5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left" vertical="bottom"/>
    </xf>
    <xf numFmtId="164" fontId="7" fillId="7" borderId="0" applyAlignment="1" pivotButton="0" quotePrefix="0" xfId="0">
      <alignment horizontal="center" vertical="center"/>
    </xf>
    <xf numFmtId="164" fontId="0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164" fontId="7" fillId="8" borderId="0" applyAlignment="1" pivotButton="0" quotePrefix="0" xfId="0">
      <alignment horizontal="center" vertical="center"/>
    </xf>
    <xf numFmtId="164" fontId="7" fillId="9" borderId="0" applyAlignment="1" pivotButton="0" quotePrefix="0" xfId="0">
      <alignment horizontal="center" vertical="center"/>
    </xf>
    <xf numFmtId="164" fontId="0" fillId="9" borderId="0" applyAlignment="1" pivotButton="0" quotePrefix="0" xfId="0">
      <alignment horizontal="center" vertical="center"/>
    </xf>
    <xf numFmtId="164" fontId="7" fillId="10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164" fontId="0" fillId="11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bottom"/>
    </xf>
    <xf numFmtId="164" fontId="5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left" vertical="bottom"/>
    </xf>
    <xf numFmtId="164" fontId="7" fillId="7" borderId="0" applyAlignment="1" pivotButton="0" quotePrefix="0" xfId="0">
      <alignment horizontal="center" vertical="center"/>
    </xf>
    <xf numFmtId="164" fontId="0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164" fontId="7" fillId="8" borderId="0" applyAlignment="1" pivotButton="0" quotePrefix="0" xfId="0">
      <alignment horizontal="center" vertical="center"/>
    </xf>
    <xf numFmtId="164" fontId="7" fillId="9" borderId="0" applyAlignment="1" pivotButton="0" quotePrefix="0" xfId="0">
      <alignment horizontal="center" vertical="center"/>
    </xf>
    <xf numFmtId="164" fontId="0" fillId="9" borderId="0" applyAlignment="1" pivotButton="0" quotePrefix="0" xfId="0">
      <alignment horizontal="center" vertical="center"/>
    </xf>
    <xf numFmtId="164" fontId="7" fillId="10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164" fontId="0" fillId="11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8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23" min="1" max="1"/>
    <col width="16" customWidth="1" style="23" min="2" max="2"/>
    <col width="11" customWidth="1" style="23" min="3" max="5"/>
    <col width="30" customWidth="1" style="23" min="6" max="6"/>
    <col width="7" customWidth="1" style="23" min="7" max="7"/>
  </cols>
  <sheetData>
    <row r="1" ht="17.35" customHeight="1" s="24">
      <c r="A1" s="25" t="inlineStr">
        <is>
          <t>SIMULATION JEU INTERACTIF</t>
        </is>
      </c>
    </row>
    <row r="3" ht="15" customHeight="1" s="24">
      <c r="A3" s="23" t="inlineStr">
        <is>
          <t>Entreprise :</t>
        </is>
      </c>
      <c r="D3" s="26" t="inlineStr">
        <is>
          <t>Manufacture Belvaux</t>
        </is>
      </c>
    </row>
    <row r="4" ht="15" customHeight="1" s="24">
      <c r="A4" s="23" t="inlineStr">
        <is>
          <t>Nombre de trimestres :</t>
        </is>
      </c>
      <c r="D4" s="26" t="n">
        <v>6</v>
      </c>
    </row>
    <row r="5" ht="15" customHeight="1" s="24">
      <c r="A5" s="23" t="inlineStr">
        <is>
          <t>Trimestre initial :</t>
        </is>
      </c>
      <c r="D5" s="23" t="n">
        <v>1</v>
      </c>
    </row>
    <row r="11" ht="15" customHeight="1" s="24">
      <c r="A11" s="27" t="inlineStr">
        <is>
          <t>TRIMESTRE</t>
        </is>
      </c>
      <c r="B11" s="27" t="inlineStr">
        <is>
          <t>AVANT</t>
        </is>
      </c>
      <c r="C11" s="27" t="inlineStr">
        <is>
          <t>DÉCISIONS</t>
        </is>
      </c>
      <c r="D11" s="27" t="inlineStr">
        <is>
          <t>MONTANT</t>
        </is>
      </c>
      <c r="E11" s="27" t="inlineStr">
        <is>
          <t>APRÈS</t>
        </is>
      </c>
      <c r="F11" s="27" t="inlineStr">
        <is>
          <t>NOTE</t>
        </is>
      </c>
    </row>
    <row r="12" ht="15" customHeight="1" s="24">
      <c r="A12" s="27" t="inlineStr">
        <is>
          <t>TRIMESTRE 1</t>
        </is>
      </c>
    </row>
    <row r="13" ht="15" customHeight="1" s="24">
      <c r="A13" s="28" t="inlineStr">
        <is>
          <t>📋 DÉCISIONS</t>
        </is>
      </c>
    </row>
    <row r="15" ht="15" customHeight="1" s="24">
      <c r="A15" s="29" t="inlineStr">
        <is>
          <t>Emprunt demandé :</t>
        </is>
      </c>
      <c r="D15" s="30" t="n">
        <v>0</v>
      </c>
    </row>
    <row r="16" ht="15" customHeight="1" s="24">
      <c r="A16" s="29" t="inlineStr">
        <is>
          <t>Achat de stock :</t>
        </is>
      </c>
      <c r="D16" s="30" t="n">
        <v>0</v>
      </c>
    </row>
    <row r="17" ht="15" customHeight="1" s="24">
      <c r="A17" s="29" t="inlineStr">
        <is>
          <t>Mode de trésorerie :</t>
        </is>
      </c>
      <c r="D17" s="26" t="inlineStr">
        <is>
          <t>Tréso</t>
        </is>
      </c>
    </row>
    <row r="18" ht="15" customHeight="1" s="24">
      <c r="A18" s="29" t="inlineStr">
        <is>
          <t>Recrutement :</t>
        </is>
      </c>
      <c r="D18" s="26" t="inlineStr">
        <is>
          <t>Aucun</t>
        </is>
      </c>
    </row>
    <row r="19" ht="15" customHeight="1" s="24">
      <c r="A19" s="29" t="inlineStr">
        <is>
          <t>Carte action :</t>
        </is>
      </c>
      <c r="D19" s="26" t="inlineStr">
        <is>
          <t>Aucune</t>
        </is>
      </c>
    </row>
    <row r="20" ht="15" customHeight="1" s="24">
      <c r="A20" s="29" t="inlineStr">
        <is>
          <t>Événement :</t>
        </is>
      </c>
      <c r="D20" s="26" t="inlineStr">
        <is>
          <t>Aucun</t>
        </is>
      </c>
    </row>
    <row r="22" ht="15" customHeight="1" s="24">
      <c r="A22" s="31" t="inlineStr">
        <is>
          <t>⚙️ EFFETS AUTOMATIQUES</t>
        </is>
      </c>
    </row>
    <row r="23" ht="15" customHeight="1" s="24">
      <c r="A23" s="29" t="inlineStr">
        <is>
          <t>Charges courantes</t>
        </is>
      </c>
      <c r="D23" s="32" t="n">
        <v>-2000</v>
      </c>
    </row>
    <row r="24" ht="15" customHeight="1" s="24">
      <c r="A24" s="29" t="inlineStr">
        <is>
          <t>Amortissements</t>
        </is>
      </c>
      <c r="D24" s="32">
        <f>MAX(-VLOOKUP($D$3,Données!$A$65:$J$68,6,0)*1000,-C52)</f>
        <v/>
      </c>
    </row>
    <row r="25" ht="15" customHeight="1" s="24">
      <c r="A25" s="29" t="inlineStr">
        <is>
          <t>Remboursements</t>
        </is>
      </c>
      <c r="D25" s="32">
        <f>IF(C60&gt;0,-1000,0)</f>
        <v/>
      </c>
    </row>
    <row r="26" ht="15" customHeight="1" s="24">
      <c r="A26" s="29" t="inlineStr">
        <is>
          <t>Agios</t>
        </is>
      </c>
      <c r="D26" s="32">
        <f>IF(C62&gt;0,MAX(1000,ROUNDUP(C62*0.10/1000,0)*1000),0)</f>
        <v/>
      </c>
    </row>
    <row r="27" ht="15" customHeight="1" s="24">
      <c r="A27" s="29" t="inlineStr">
        <is>
          <t>Règlement dettes</t>
        </is>
      </c>
      <c r="D27" s="32" t="n">
        <v>0</v>
      </c>
    </row>
    <row r="30" ht="15" customHeight="1" s="24">
      <c r="A30" s="29" t="inlineStr">
        <is>
          <t>Stock acheté</t>
        </is>
      </c>
      <c r="D30" s="32">
        <f>$D$16</f>
        <v/>
      </c>
    </row>
    <row r="31" ht="15" customHeight="1" s="24">
      <c r="A31" s="29" t="inlineStr">
        <is>
          <t>Stock à payer</t>
        </is>
      </c>
      <c r="D31" s="32">
        <f>IF($D$17="Tréso",-$D$16,0)</f>
        <v/>
      </c>
    </row>
    <row r="34" ht="15" customHeight="1" s="24">
      <c r="A34" s="29" t="inlineStr">
        <is>
          <t>Capacité prod.</t>
        </is>
      </c>
      <c r="D34" s="32">
        <f>4+IFERROR(VLOOKUP($D$19,Données!$A$2:$V$38,18,0),0)</f>
        <v/>
      </c>
    </row>
    <row r="35" ht="15" customHeight="1" s="24">
      <c r="A35" s="29" t="inlineStr">
        <is>
          <t>Stocks dispo</t>
        </is>
      </c>
      <c r="D35" s="32">
        <f>C53+D30</f>
        <v/>
      </c>
    </row>
    <row r="36" ht="15" customHeight="1" s="24">
      <c r="A36" s="29" t="inlineStr">
        <is>
          <t>Unités vendues</t>
        </is>
      </c>
      <c r="D36" s="32" t="n">
        <v>0</v>
      </c>
    </row>
    <row r="37" ht="15" customHeight="1" s="24">
      <c r="A37" s="29" t="inlineStr">
        <is>
          <t>CA (Chiffre affaires)</t>
        </is>
      </c>
      <c r="D37" s="32">
        <f>D36*2000</f>
        <v/>
      </c>
    </row>
    <row r="38" ht="15" customHeight="1" s="24">
      <c r="A38" s="29" t="inlineStr">
        <is>
          <t>CMV (Coût matière)</t>
        </is>
      </c>
      <c r="D38" s="32">
        <f>-D36*1000</f>
        <v/>
      </c>
    </row>
    <row r="41" ht="15" customHeight="1" s="24">
      <c r="A41" s="29" t="inlineStr">
        <is>
          <t>Immobilisations</t>
        </is>
      </c>
      <c r="D41" s="32">
        <f>IFERROR(VLOOKUP($D$19,Données!$A$2:$V$38,4,0),0)</f>
        <v/>
      </c>
    </row>
    <row r="42" ht="15" customHeight="1" s="24">
      <c r="A42" s="29" t="inlineStr">
        <is>
          <t>Trésorerie</t>
        </is>
      </c>
      <c r="D42" s="32">
        <f>IFERROR(VLOOKUP($D$19,Données!$A$2:$V$38,5,0),0)</f>
        <v/>
      </c>
    </row>
    <row r="43" ht="15" customHeight="1" s="24">
      <c r="A43" s="29" t="inlineStr">
        <is>
          <t>Stocks</t>
        </is>
      </c>
      <c r="D43" s="32">
        <f>IFERROR(VLOOKUP($D$19,Données!$A$2:$V$38,19,0),0)</f>
        <v/>
      </c>
    </row>
    <row r="46" ht="15" customHeight="1" s="24">
      <c r="A46" s="29" t="inlineStr">
        <is>
          <t>Trésorerie</t>
        </is>
      </c>
      <c r="D46" s="32">
        <f>IFERROR(VLOOKUP($D$18,Données!$A$2:$V$38,5,0),0)</f>
        <v/>
      </c>
    </row>
    <row r="47" ht="15" customHeight="1" s="24">
      <c r="A47" s="29" t="inlineStr">
        <is>
          <t>Stocks</t>
        </is>
      </c>
      <c r="D47" s="32" t="n">
        <v>0</v>
      </c>
    </row>
    <row r="51" ht="15" customHeight="1" s="24">
      <c r="A51" s="27" t="inlineStr">
        <is>
          <t>📊 BILAN</t>
        </is>
      </c>
    </row>
    <row r="52" ht="15" customHeight="1" s="24">
      <c r="A52" s="33" t="inlineStr">
        <is>
          <t>Immobilisations</t>
        </is>
      </c>
      <c r="C52" s="34">
        <f>VLOOKUP($D$3,Données!$A$65:$J$68,5,0)</f>
        <v/>
      </c>
      <c r="E52" s="34">
        <f>MAX(0,C52+D24+D41)</f>
        <v/>
      </c>
    </row>
    <row r="53" ht="15" customHeight="1" s="24">
      <c r="A53" s="29" t="inlineStr">
        <is>
          <t>Stocks</t>
        </is>
      </c>
      <c r="C53" s="35">
        <f>VLOOKUP($D$3,Données!$A$65:$J$68,7,0)</f>
        <v/>
      </c>
      <c r="E53" s="35">
        <f>C53+D30+D43+D47</f>
        <v/>
      </c>
    </row>
    <row r="54" ht="15" customHeight="1" s="24">
      <c r="A54" s="29" t="inlineStr">
        <is>
          <t>Créances clients</t>
        </is>
      </c>
      <c r="C54" s="35" t="n">
        <v>0</v>
      </c>
      <c r="E54" s="35">
        <f>C54+D37</f>
        <v/>
      </c>
    </row>
    <row r="55" ht="15" customHeight="1" s="24">
      <c r="A55" s="29" t="inlineStr">
        <is>
          <t>Trésorerie</t>
        </is>
      </c>
      <c r="C55" s="35">
        <f>VLOOKUP($D$3,Données!$A$65:$J$68,8,0)</f>
        <v/>
      </c>
      <c r="E55" s="35">
        <f>C55+D23+D25+D31+D42+D46</f>
        <v/>
      </c>
    </row>
    <row r="56" ht="15" customHeight="1" s="24">
      <c r="A56" s="36" t="inlineStr">
        <is>
          <t>TOTAL ACTIF</t>
        </is>
      </c>
      <c r="C56" s="37">
        <f>SUM(C52:C55)</f>
        <v/>
      </c>
      <c r="E56" s="37">
        <f>SUM(E52:E55)</f>
        <v/>
      </c>
    </row>
    <row r="59" ht="15" customHeight="1" s="24">
      <c r="A59" s="33" t="inlineStr">
        <is>
          <t>Capitaux propres</t>
        </is>
      </c>
      <c r="C59" s="38">
        <f>VLOOKUP($D$3,Données!$A$65:$J$68,9,0)</f>
        <v/>
      </c>
      <c r="E59" s="38">
        <f>C59</f>
        <v/>
      </c>
    </row>
    <row r="60" ht="15" customHeight="1" s="24">
      <c r="A60" s="29" t="inlineStr">
        <is>
          <t>Emprunts</t>
        </is>
      </c>
      <c r="C60" s="39">
        <f>VLOOKUP($D$3,Données!$A$65:$J$68,10,0)</f>
        <v/>
      </c>
      <c r="E60" s="39">
        <f>C60+$D$15+D25</f>
        <v/>
      </c>
    </row>
    <row r="61" ht="15" customHeight="1" s="24">
      <c r="A61" s="29" t="inlineStr">
        <is>
          <t>Dettes fournisseurs</t>
        </is>
      </c>
      <c r="C61" s="39" t="n">
        <v>0</v>
      </c>
      <c r="E61" s="39">
        <f>C61</f>
        <v/>
      </c>
    </row>
    <row r="62" ht="15" customHeight="1" s="24">
      <c r="A62" s="29" t="inlineStr">
        <is>
          <t>Découvert</t>
        </is>
      </c>
      <c r="C62" s="39" t="n">
        <v>0</v>
      </c>
      <c r="E62" s="39">
        <f>C62+D26</f>
        <v/>
      </c>
    </row>
    <row r="63" ht="15" customHeight="1" s="24">
      <c r="A63" s="29" t="inlineStr">
        <is>
          <t>Résultat</t>
        </is>
      </c>
      <c r="C63" s="39" t="n">
        <v>0</v>
      </c>
      <c r="E63" s="39">
        <f>E56-(E59+E60+E61+E62)</f>
        <v/>
      </c>
    </row>
    <row r="64" ht="15" customHeight="1" s="24">
      <c r="A64" s="36" t="inlineStr">
        <is>
          <t>TOTAL PASSIF</t>
        </is>
      </c>
      <c r="C64" s="37">
        <f>SUM(C59:C63)</f>
        <v/>
      </c>
      <c r="E64" s="37">
        <f>SUM(E59:E63)</f>
        <v/>
      </c>
    </row>
    <row r="65" ht="15" customHeight="1" s="24">
      <c r="A65" s="23" t="inlineStr">
        <is>
          <t>Équilibre (APRÈS)</t>
        </is>
      </c>
      <c r="C65" s="40">
        <f>E56-E64</f>
        <v/>
      </c>
    </row>
    <row r="66" ht="15" customHeight="1" s="24">
      <c r="A66" s="27" t="inlineStr">
        <is>
          <t>📈 COMPTE DE RÉSULTAT — TRIMESTRE 1</t>
        </is>
      </c>
    </row>
    <row r="67" ht="15" customHeight="1" s="24">
      <c r="A67" s="41" t="inlineStr">
        <is>
          <t>POSTE</t>
        </is>
      </c>
      <c r="B67" s="41" t="inlineStr">
        <is>
          <t>±</t>
        </is>
      </c>
      <c r="D67" s="41" t="inlineStr">
        <is>
          <t>MONTANT</t>
        </is>
      </c>
      <c r="F67" s="41" t="inlineStr">
        <is>
          <t>NOTE</t>
        </is>
      </c>
    </row>
    <row r="68" ht="15" customHeight="1" s="24">
      <c r="A68" s="42" t="inlineStr">
        <is>
          <t>CA ventes</t>
        </is>
      </c>
      <c r="B68" s="42" t="inlineStr">
        <is>
          <t>(+)</t>
        </is>
      </c>
      <c r="D68" s="43">
        <f>D37</f>
        <v/>
      </c>
      <c r="F68" s="42" t="inlineStr">
        <is>
          <t>Unités × 2 000 €/u</t>
        </is>
      </c>
    </row>
    <row r="69" ht="15" customHeight="1" s="24">
      <c r="A69" s="42" t="inlineStr">
        <is>
          <t>Produits except.</t>
        </is>
      </c>
      <c r="B69" s="42" t="inlineStr">
        <is>
          <t>(+)</t>
        </is>
      </c>
      <c r="D69" s="43">
        <f>IFERROR(VLOOKUP($D$19,Données!$A$2:$V$38,14,0),0)+IFERROR(VLOOKUP($D$20,Données!$B$45:$L$57,8,0),0)+IFERROR(VLOOKUP($D$19,Données!$A$2:$V$38,15,0),0)+IFERROR(VLOOKUP($D$20,Données!$B$45:$L$57,9,0),0)</f>
        <v/>
      </c>
      <c r="F69" s="42" t="inlineStr">
        <is>
          <t>Subvention, remb. assurance</t>
        </is>
      </c>
    </row>
    <row r="70" ht="15" customHeight="1" s="24">
      <c r="A70" s="36" t="inlineStr">
        <is>
          <t>TOTAL PRODUITS</t>
        </is>
      </c>
      <c r="B70" s="36" t="inlineStr">
        <is>
          <t>Σ</t>
        </is>
      </c>
      <c r="D70" s="37">
        <f>D68+D69</f>
        <v/>
      </c>
    </row>
    <row r="71" ht="15" customHeight="1" s="24">
      <c r="A71" s="44" t="inlineStr">
        <is>
          <t>CMV</t>
        </is>
      </c>
      <c r="B71" s="44" t="inlineStr">
        <is>
          <t>(−)</t>
        </is>
      </c>
      <c r="D71" s="39">
        <f>D38</f>
        <v/>
      </c>
      <c r="F71" s="44" t="inlineStr">
        <is>
          <t>Stocks à valeur d'achat</t>
        </is>
      </c>
    </row>
    <row r="72" ht="15" customHeight="1" s="24">
      <c r="A72" s="44" t="inlineStr">
        <is>
          <t>Ch. personnel</t>
        </is>
      </c>
      <c r="B72" s="44" t="inlineStr">
        <is>
          <t>(−)</t>
        </is>
      </c>
      <c r="D72" s="39">
        <f>IFERROR(VLOOKUP($D$18,Données!$A$2:$V$38,9,0),0)+IFERROR(VLOOKUP($D$19,Données!$A$2:$V$38,9,0),0)</f>
        <v/>
      </c>
      <c r="F72" s="44" t="inlineStr">
        <is>
          <t>Salaires commerciaux</t>
        </is>
      </c>
    </row>
    <row r="73" ht="15" customHeight="1" s="24">
      <c r="A73" s="44" t="inlineStr">
        <is>
          <t>Ch. fixes &amp; serv.</t>
        </is>
      </c>
      <c r="B73" s="44" t="inlineStr">
        <is>
          <t>(−)</t>
        </is>
      </c>
      <c r="D73" s="39">
        <f>-2000+IFERROR(VLOOKUP($D$19,Données!$A$2:$V$38,10,0),0)+IFERROR(VLOOKUP($D$20,Données!$B$45:$L$57,3,0),0)</f>
        <v/>
      </c>
      <c r="F73" s="44" t="inlineStr">
        <is>
          <t>Loyer -2000 + cartes</t>
        </is>
      </c>
    </row>
    <row r="74" ht="15" customHeight="1" s="24">
      <c r="A74" s="44" t="inlineStr">
        <is>
          <t>Dotations amort.</t>
        </is>
      </c>
      <c r="B74" s="44" t="inlineStr">
        <is>
          <t>(−)</t>
        </is>
      </c>
      <c r="D74" s="39">
        <f>D24</f>
        <v/>
      </c>
      <c r="F74" s="44" t="inlineStr">
        <is>
          <t>Amortissements</t>
        </is>
      </c>
    </row>
    <row r="75" ht="15" customHeight="1" s="24">
      <c r="A75" s="44" t="inlineStr">
        <is>
          <t>Ch. intérêt</t>
        </is>
      </c>
      <c r="B75" s="44" t="inlineStr">
        <is>
          <t>(−)</t>
        </is>
      </c>
      <c r="D75" s="39">
        <f>-D26+IFERROR(VLOOKUP($D$19,Données!$A$2:$V$38,12,0),0)</f>
        <v/>
      </c>
      <c r="F75" s="44" t="inlineStr">
        <is>
          <t>Agios + intérêts emprunt</t>
        </is>
      </c>
    </row>
    <row r="76" ht="15" customHeight="1" s="24">
      <c r="A76" s="36" t="inlineStr">
        <is>
          <t>TOTAL CHARGES</t>
        </is>
      </c>
      <c r="B76" s="36" t="inlineStr">
        <is>
          <t>Σ</t>
        </is>
      </c>
      <c r="D76" s="37">
        <f>SUM(D71:D75)</f>
        <v/>
      </c>
    </row>
    <row r="77" ht="15" customHeight="1" s="24">
      <c r="A77" s="45" t="inlineStr">
        <is>
          <t>RÉSULTAT NET</t>
        </is>
      </c>
      <c r="B77" s="45" t="inlineStr">
        <is>
          <t>=</t>
        </is>
      </c>
      <c r="D77" s="40">
        <f>D70+D76</f>
        <v/>
      </c>
    </row>
    <row r="79" ht="15" customHeight="1" s="24">
      <c r="A79" s="27" t="inlineStr">
        <is>
          <t>TRIMESTRE 2</t>
        </is>
      </c>
    </row>
    <row r="80" ht="15" customHeight="1" s="24">
      <c r="A80" s="28" t="inlineStr">
        <is>
          <t>📋 DÉCISIONS</t>
        </is>
      </c>
    </row>
    <row r="82" ht="15" customHeight="1" s="24">
      <c r="A82" s="29" t="inlineStr">
        <is>
          <t>Emprunt demandé :</t>
        </is>
      </c>
      <c r="D82" s="30" t="n">
        <v>0</v>
      </c>
    </row>
    <row r="83" ht="15" customHeight="1" s="24">
      <c r="A83" s="29" t="inlineStr">
        <is>
          <t>Achat de stock :</t>
        </is>
      </c>
      <c r="D83" s="30" t="n">
        <v>0</v>
      </c>
    </row>
    <row r="84" ht="15" customHeight="1" s="24">
      <c r="A84" s="29" t="inlineStr">
        <is>
          <t>Mode de trésorerie :</t>
        </is>
      </c>
      <c r="D84" s="26" t="inlineStr">
        <is>
          <t>Tréso</t>
        </is>
      </c>
    </row>
    <row r="85" ht="15" customHeight="1" s="24">
      <c r="A85" s="29" t="inlineStr">
        <is>
          <t>Recrutement :</t>
        </is>
      </c>
      <c r="D85" s="26" t="inlineStr">
        <is>
          <t>Aucun</t>
        </is>
      </c>
    </row>
    <row r="86" ht="15" customHeight="1" s="24">
      <c r="A86" s="29" t="inlineStr">
        <is>
          <t>Carte action :</t>
        </is>
      </c>
      <c r="D86" s="26" t="inlineStr">
        <is>
          <t>Aucune</t>
        </is>
      </c>
    </row>
    <row r="87" ht="15" customHeight="1" s="24">
      <c r="A87" s="29" t="inlineStr">
        <is>
          <t>Événement :</t>
        </is>
      </c>
      <c r="D87" s="26" t="inlineStr">
        <is>
          <t>Aucun</t>
        </is>
      </c>
    </row>
    <row r="89" ht="15" customHeight="1" s="24">
      <c r="A89" s="31" t="inlineStr">
        <is>
          <t>⚙️ EFFETS AUTOMATIQUES</t>
        </is>
      </c>
    </row>
    <row r="90" ht="15" customHeight="1" s="24">
      <c r="A90" s="29" t="inlineStr">
        <is>
          <t>Charges courantes</t>
        </is>
      </c>
      <c r="D90" s="32" t="n">
        <v>-2000</v>
      </c>
    </row>
    <row r="91" ht="15" customHeight="1" s="24">
      <c r="A91" s="29" t="inlineStr">
        <is>
          <t>Amortissements</t>
        </is>
      </c>
      <c r="D91" s="32">
        <f>MAX(-VLOOKUP($D$3,Données!$A$65:$J$68,6,0)*1000,-C119)</f>
        <v/>
      </c>
    </row>
    <row r="92" ht="15" customHeight="1" s="24">
      <c r="A92" s="29" t="inlineStr">
        <is>
          <t>Remboursements</t>
        </is>
      </c>
      <c r="D92" s="32">
        <f>IF(C127&gt;0,-1000,0)</f>
        <v/>
      </c>
    </row>
    <row r="93" ht="15" customHeight="1" s="24">
      <c r="A93" s="29" t="inlineStr">
        <is>
          <t>Agios</t>
        </is>
      </c>
      <c r="D93" s="32">
        <f>IF(C129&gt;0,MAX(1000,ROUNDUP(C129*0.10/1000,0)*1000),0)</f>
        <v/>
      </c>
    </row>
    <row r="94" ht="15" customHeight="1" s="24">
      <c r="A94" s="29" t="inlineStr">
        <is>
          <t>Règlement dettes</t>
        </is>
      </c>
      <c r="D94" s="32" t="n">
        <v>0</v>
      </c>
    </row>
    <row r="97" ht="15" customHeight="1" s="24">
      <c r="A97" s="29" t="inlineStr">
        <is>
          <t>Stock acheté</t>
        </is>
      </c>
      <c r="D97" s="32">
        <f>$D$83</f>
        <v/>
      </c>
    </row>
    <row r="98" ht="15" customHeight="1" s="24">
      <c r="A98" s="29" t="inlineStr">
        <is>
          <t>Stock à payer</t>
        </is>
      </c>
      <c r="D98" s="32">
        <f>IF($D$84="Tréso",-$D$83,0)</f>
        <v/>
      </c>
    </row>
    <row r="101" ht="15" customHeight="1" s="24">
      <c r="A101" s="29" t="inlineStr">
        <is>
          <t>Capacité prod.</t>
        </is>
      </c>
      <c r="D101" s="32">
        <f>4+IFERROR(VLOOKUP($D$86,Données!$A$2:$V$38,18,0),0)</f>
        <v/>
      </c>
    </row>
    <row r="102" ht="15" customHeight="1" s="24">
      <c r="A102" s="29" t="inlineStr">
        <is>
          <t>Stocks dispo</t>
        </is>
      </c>
      <c r="D102" s="32">
        <f>C120+D97</f>
        <v/>
      </c>
    </row>
    <row r="103" ht="15" customHeight="1" s="24">
      <c r="A103" s="29" t="inlineStr">
        <is>
          <t>Unités vendues</t>
        </is>
      </c>
      <c r="D103" s="32" t="n">
        <v>0</v>
      </c>
    </row>
    <row r="104" ht="15" customHeight="1" s="24">
      <c r="A104" s="29" t="inlineStr">
        <is>
          <t>CA (Chiffre affaires)</t>
        </is>
      </c>
      <c r="D104" s="32">
        <f>D103*2000</f>
        <v/>
      </c>
    </row>
    <row r="105" ht="15" customHeight="1" s="24">
      <c r="A105" s="29" t="inlineStr">
        <is>
          <t>CMV (Coût matière)</t>
        </is>
      </c>
      <c r="D105" s="32">
        <f>-D103*1000</f>
        <v/>
      </c>
    </row>
    <row r="108" ht="15" customHeight="1" s="24">
      <c r="A108" s="29" t="inlineStr">
        <is>
          <t>Immobilisations</t>
        </is>
      </c>
      <c r="D108" s="32">
        <f>IFERROR(VLOOKUP($D$86,Données!$A$2:$V$38,4,0),0)</f>
        <v/>
      </c>
    </row>
    <row r="109" ht="15" customHeight="1" s="24">
      <c r="A109" s="29" t="inlineStr">
        <is>
          <t>Trésorerie</t>
        </is>
      </c>
      <c r="D109" s="32">
        <f>IFERROR(VLOOKUP($D$86,Données!$A$2:$V$38,5,0),0)</f>
        <v/>
      </c>
    </row>
    <row r="110" ht="15" customHeight="1" s="24">
      <c r="A110" s="29" t="inlineStr">
        <is>
          <t>Stocks</t>
        </is>
      </c>
      <c r="D110" s="32">
        <f>IFERROR(VLOOKUP($D$86,Données!$A$2:$V$38,19,0),0)</f>
        <v/>
      </c>
    </row>
    <row r="113" ht="15" customHeight="1" s="24">
      <c r="A113" s="29" t="inlineStr">
        <is>
          <t>Trésorerie</t>
        </is>
      </c>
      <c r="D113" s="32">
        <f>IFERROR(VLOOKUP($D$85,Données!$A$2:$V$38,5,0),0)</f>
        <v/>
      </c>
    </row>
    <row r="114" ht="15" customHeight="1" s="24">
      <c r="A114" s="29" t="inlineStr">
        <is>
          <t>Stocks</t>
        </is>
      </c>
      <c r="D114" s="32" t="n">
        <v>0</v>
      </c>
    </row>
    <row r="118" ht="15" customHeight="1" s="24">
      <c r="A118" s="27" t="inlineStr">
        <is>
          <t>📊 BILAN</t>
        </is>
      </c>
    </row>
    <row r="119" ht="15" customHeight="1" s="24">
      <c r="A119" s="33" t="inlineStr">
        <is>
          <t>Immobilisations</t>
        </is>
      </c>
      <c r="C119" s="34">
        <f>E52</f>
        <v/>
      </c>
      <c r="E119" s="34">
        <f>MAX(0,C119+D91+D108)</f>
        <v/>
      </c>
    </row>
    <row r="120" ht="15" customHeight="1" s="24">
      <c r="A120" s="29" t="inlineStr">
        <is>
          <t>Stocks</t>
        </is>
      </c>
      <c r="C120" s="35">
        <f>E53</f>
        <v/>
      </c>
      <c r="E120" s="35">
        <f>C120+D97+D110+D114</f>
        <v/>
      </c>
    </row>
    <row r="121" ht="15" customHeight="1" s="24">
      <c r="A121" s="29" t="inlineStr">
        <is>
          <t>Créances clients</t>
        </is>
      </c>
      <c r="C121" s="35">
        <f>E54</f>
        <v/>
      </c>
      <c r="E121" s="35">
        <f>C121+D104</f>
        <v/>
      </c>
    </row>
    <row r="122" ht="15" customHeight="1" s="24">
      <c r="A122" s="29" t="inlineStr">
        <is>
          <t>Trésorerie</t>
        </is>
      </c>
      <c r="C122" s="35">
        <f>E55</f>
        <v/>
      </c>
      <c r="E122" s="35">
        <f>C122+D90+D92+D98+D109+D113</f>
        <v/>
      </c>
    </row>
    <row r="123" ht="15" customHeight="1" s="24">
      <c r="A123" s="36" t="inlineStr">
        <is>
          <t>TOTAL ACTIF</t>
        </is>
      </c>
      <c r="C123" s="37">
        <f>SUM(C119:C122)</f>
        <v/>
      </c>
      <c r="E123" s="37">
        <f>SUM(E119:E122)</f>
        <v/>
      </c>
    </row>
    <row r="126" ht="15" customHeight="1" s="24">
      <c r="A126" s="33" t="inlineStr">
        <is>
          <t>Capitaux propres</t>
        </is>
      </c>
      <c r="C126" s="38">
        <f>E59</f>
        <v/>
      </c>
      <c r="E126" s="38">
        <f>C126</f>
        <v/>
      </c>
    </row>
    <row r="127" ht="15" customHeight="1" s="24">
      <c r="A127" s="29" t="inlineStr">
        <is>
          <t>Emprunts</t>
        </is>
      </c>
      <c r="C127" s="39">
        <f>E60</f>
        <v/>
      </c>
      <c r="E127" s="39">
        <f>C127+$D$82+D92</f>
        <v/>
      </c>
    </row>
    <row r="128" ht="15" customHeight="1" s="24">
      <c r="A128" s="29" t="inlineStr">
        <is>
          <t>Dettes fournisseurs</t>
        </is>
      </c>
      <c r="C128" s="39">
        <f>E61</f>
        <v/>
      </c>
      <c r="E128" s="39">
        <f>C128</f>
        <v/>
      </c>
    </row>
    <row r="129" ht="15" customHeight="1" s="24">
      <c r="A129" s="29" t="inlineStr">
        <is>
          <t>Découvert</t>
        </is>
      </c>
      <c r="C129" s="39">
        <f>E62</f>
        <v/>
      </c>
      <c r="E129" s="39">
        <f>C129+D93</f>
        <v/>
      </c>
    </row>
    <row r="130" ht="15" customHeight="1" s="24">
      <c r="A130" s="29" t="inlineStr">
        <is>
          <t>Résultat</t>
        </is>
      </c>
      <c r="C130" s="39">
        <f>E63</f>
        <v/>
      </c>
      <c r="E130" s="39">
        <f>E123-(E126+E127+E128+E129)</f>
        <v/>
      </c>
    </row>
    <row r="131" ht="15" customHeight="1" s="24">
      <c r="A131" s="36" t="inlineStr">
        <is>
          <t>TOTAL PASSIF</t>
        </is>
      </c>
      <c r="C131" s="37">
        <f>SUM(C126:C130)</f>
        <v/>
      </c>
      <c r="E131" s="37">
        <f>SUM(E126:E130)</f>
        <v/>
      </c>
    </row>
    <row r="132" ht="15" customHeight="1" s="24">
      <c r="A132" s="23" t="inlineStr">
        <is>
          <t>Équilibre (APRÈS)</t>
        </is>
      </c>
      <c r="C132" s="40">
        <f>E123-E131</f>
        <v/>
      </c>
    </row>
    <row r="133" ht="15" customHeight="1" s="24">
      <c r="A133" s="27" t="inlineStr">
        <is>
          <t>📈 COMPTE DE RÉSULTAT — TRIMESTRE 2</t>
        </is>
      </c>
    </row>
    <row r="134" ht="15" customHeight="1" s="24">
      <c r="A134" s="41" t="inlineStr">
        <is>
          <t>POSTE</t>
        </is>
      </c>
      <c r="B134" s="41" t="inlineStr">
        <is>
          <t>±</t>
        </is>
      </c>
      <c r="D134" s="41" t="inlineStr">
        <is>
          <t>MONTANT</t>
        </is>
      </c>
      <c r="F134" s="41" t="inlineStr">
        <is>
          <t>NOTE</t>
        </is>
      </c>
    </row>
    <row r="135" ht="15" customHeight="1" s="24">
      <c r="A135" s="42" t="inlineStr">
        <is>
          <t>CA ventes</t>
        </is>
      </c>
      <c r="B135" s="42" t="inlineStr">
        <is>
          <t>(+)</t>
        </is>
      </c>
      <c r="D135" s="43">
        <f>D104</f>
        <v/>
      </c>
      <c r="F135" s="42" t="inlineStr">
        <is>
          <t>Unités × 2 000 €/u</t>
        </is>
      </c>
    </row>
    <row r="136" ht="15" customHeight="1" s="24">
      <c r="A136" s="42" t="inlineStr">
        <is>
          <t>Produits except.</t>
        </is>
      </c>
      <c r="B136" s="42" t="inlineStr">
        <is>
          <t>(+)</t>
        </is>
      </c>
      <c r="D136" s="43">
        <f>IFERROR(VLOOKUP($D$86,Données!$A$2:$V$38,14,0),0)+IFERROR(VLOOKUP($D$87,Données!$B$45:$L$57,8,0),0)+IFERROR(VLOOKUP($D$86,Données!$A$2:$V$38,15,0),0)+IFERROR(VLOOKUP($D$87,Données!$B$45:$L$57,9,0),0)</f>
        <v/>
      </c>
      <c r="F136" s="42" t="inlineStr">
        <is>
          <t>Subvention, remb. assurance</t>
        </is>
      </c>
    </row>
    <row r="137" ht="15" customHeight="1" s="24">
      <c r="A137" s="36" t="inlineStr">
        <is>
          <t>TOTAL PRODUITS</t>
        </is>
      </c>
      <c r="B137" s="36" t="inlineStr">
        <is>
          <t>Σ</t>
        </is>
      </c>
      <c r="D137" s="37">
        <f>D135+D136</f>
        <v/>
      </c>
    </row>
    <row r="138" ht="15" customHeight="1" s="24">
      <c r="A138" s="44" t="inlineStr">
        <is>
          <t>CMV</t>
        </is>
      </c>
      <c r="B138" s="44" t="inlineStr">
        <is>
          <t>(−)</t>
        </is>
      </c>
      <c r="D138" s="39">
        <f>D105</f>
        <v/>
      </c>
      <c r="F138" s="44" t="inlineStr">
        <is>
          <t>Stocks à valeur d'achat</t>
        </is>
      </c>
    </row>
    <row r="139" ht="15" customHeight="1" s="24">
      <c r="A139" s="44" t="inlineStr">
        <is>
          <t>Ch. personnel</t>
        </is>
      </c>
      <c r="B139" s="44" t="inlineStr">
        <is>
          <t>(−)</t>
        </is>
      </c>
      <c r="D139" s="39">
        <f>IFERROR(VLOOKUP($D$85,Données!$A$2:$V$38,9,0),0)+IFERROR(VLOOKUP($D$86,Données!$A$2:$V$38,9,0),0)</f>
        <v/>
      </c>
      <c r="F139" s="44" t="inlineStr">
        <is>
          <t>Salaires commerciaux</t>
        </is>
      </c>
    </row>
    <row r="140" ht="15" customHeight="1" s="24">
      <c r="A140" s="44" t="inlineStr">
        <is>
          <t>Ch. fixes &amp; serv.</t>
        </is>
      </c>
      <c r="B140" s="44" t="inlineStr">
        <is>
          <t>(−)</t>
        </is>
      </c>
      <c r="D140" s="39">
        <f>-2000+IFERROR(VLOOKUP($D$86,Données!$A$2:$V$38,10,0),0)+IFERROR(VLOOKUP($D$87,Données!$B$45:$L$57,3,0),0)</f>
        <v/>
      </c>
      <c r="F140" s="44" t="inlineStr">
        <is>
          <t>Loyer -2000 + cartes</t>
        </is>
      </c>
    </row>
    <row r="141" ht="15" customHeight="1" s="24">
      <c r="A141" s="44" t="inlineStr">
        <is>
          <t>Dotations amort.</t>
        </is>
      </c>
      <c r="B141" s="44" t="inlineStr">
        <is>
          <t>(−)</t>
        </is>
      </c>
      <c r="D141" s="39">
        <f>D91</f>
        <v/>
      </c>
      <c r="F141" s="44" t="inlineStr">
        <is>
          <t>Amortissements</t>
        </is>
      </c>
    </row>
    <row r="142" ht="15" customHeight="1" s="24">
      <c r="A142" s="44" t="inlineStr">
        <is>
          <t>Ch. intérêt</t>
        </is>
      </c>
      <c r="B142" s="44" t="inlineStr">
        <is>
          <t>(−)</t>
        </is>
      </c>
      <c r="D142" s="39">
        <f>-D93+IFERROR(VLOOKUP($D$86,Données!$A$2:$V$38,12,0),0)</f>
        <v/>
      </c>
      <c r="F142" s="44" t="inlineStr">
        <is>
          <t>Agios + intérêts emprunt</t>
        </is>
      </c>
    </row>
    <row r="143" ht="15" customHeight="1" s="24">
      <c r="A143" s="36" t="inlineStr">
        <is>
          <t>TOTAL CHARGES</t>
        </is>
      </c>
      <c r="B143" s="36" t="inlineStr">
        <is>
          <t>Σ</t>
        </is>
      </c>
      <c r="D143" s="37">
        <f>SUM(D138:D142)</f>
        <v/>
      </c>
    </row>
    <row r="144" ht="15" customHeight="1" s="24">
      <c r="A144" s="45" t="inlineStr">
        <is>
          <t>RÉSULTAT NET</t>
        </is>
      </c>
      <c r="B144" s="45" t="inlineStr">
        <is>
          <t>=</t>
        </is>
      </c>
      <c r="D144" s="40">
        <f>D137+D143</f>
        <v/>
      </c>
    </row>
    <row r="146" ht="15" customHeight="1" s="24">
      <c r="A146" s="27" t="inlineStr">
        <is>
          <t>TRIMESTRE 3</t>
        </is>
      </c>
    </row>
    <row r="147" ht="15" customHeight="1" s="24">
      <c r="A147" s="28" t="inlineStr">
        <is>
          <t>📋 DÉCISIONS</t>
        </is>
      </c>
    </row>
    <row r="149" ht="15" customHeight="1" s="24">
      <c r="A149" s="29" t="inlineStr">
        <is>
          <t>Emprunt demandé :</t>
        </is>
      </c>
      <c r="D149" s="30" t="n">
        <v>0</v>
      </c>
    </row>
    <row r="150" ht="15" customHeight="1" s="24">
      <c r="A150" s="29" t="inlineStr">
        <is>
          <t>Achat de stock :</t>
        </is>
      </c>
      <c r="D150" s="30" t="n">
        <v>0</v>
      </c>
    </row>
    <row r="151" ht="15" customHeight="1" s="24">
      <c r="A151" s="29" t="inlineStr">
        <is>
          <t>Mode de trésorerie :</t>
        </is>
      </c>
      <c r="D151" s="26" t="inlineStr">
        <is>
          <t>Tréso</t>
        </is>
      </c>
    </row>
    <row r="152" ht="15" customHeight="1" s="24">
      <c r="A152" s="29" t="inlineStr">
        <is>
          <t>Recrutement :</t>
        </is>
      </c>
      <c r="D152" s="26" t="inlineStr">
        <is>
          <t>Aucun</t>
        </is>
      </c>
    </row>
    <row r="153" ht="15" customHeight="1" s="24">
      <c r="A153" s="29" t="inlineStr">
        <is>
          <t>Carte action :</t>
        </is>
      </c>
      <c r="D153" s="26" t="inlineStr">
        <is>
          <t>Aucune</t>
        </is>
      </c>
    </row>
    <row r="154" ht="15" customHeight="1" s="24">
      <c r="A154" s="29" t="inlineStr">
        <is>
          <t>Événement :</t>
        </is>
      </c>
      <c r="D154" s="26" t="inlineStr">
        <is>
          <t>Aucun</t>
        </is>
      </c>
    </row>
    <row r="156" ht="15" customHeight="1" s="24">
      <c r="A156" s="31" t="inlineStr">
        <is>
          <t>⚙️ EFFETS AUTOMATIQUES</t>
        </is>
      </c>
    </row>
    <row r="157" ht="15" customHeight="1" s="24">
      <c r="A157" s="29" t="inlineStr">
        <is>
          <t>Charges courantes</t>
        </is>
      </c>
      <c r="D157" s="32" t="n">
        <v>-2000</v>
      </c>
    </row>
    <row r="158" ht="15" customHeight="1" s="24">
      <c r="A158" s="29" t="inlineStr">
        <is>
          <t>Amortissements</t>
        </is>
      </c>
      <c r="D158" s="32">
        <f>MAX(-VLOOKUP($D$3,Données!$A$65:$J$68,6,0)*1000,-C186)</f>
        <v/>
      </c>
    </row>
    <row r="159" ht="15" customHeight="1" s="24">
      <c r="A159" s="29" t="inlineStr">
        <is>
          <t>Remboursements</t>
        </is>
      </c>
      <c r="D159" s="32">
        <f>IF(C194&gt;0,-1000,0)</f>
        <v/>
      </c>
    </row>
    <row r="160" ht="15" customHeight="1" s="24">
      <c r="A160" s="29" t="inlineStr">
        <is>
          <t>Agios</t>
        </is>
      </c>
      <c r="D160" s="32">
        <f>IF(C196&gt;0,MAX(1000,ROUNDUP(C196*0.10/1000,0)*1000),0)</f>
        <v/>
      </c>
    </row>
    <row r="161" ht="15" customHeight="1" s="24">
      <c r="A161" s="29" t="inlineStr">
        <is>
          <t>Règlement dettes</t>
        </is>
      </c>
      <c r="D161" s="32" t="n">
        <v>0</v>
      </c>
    </row>
    <row r="164" ht="15" customHeight="1" s="24">
      <c r="A164" s="29" t="inlineStr">
        <is>
          <t>Stock acheté</t>
        </is>
      </c>
      <c r="D164" s="32">
        <f>$D$150</f>
        <v/>
      </c>
    </row>
    <row r="165" ht="15" customHeight="1" s="24">
      <c r="A165" s="29" t="inlineStr">
        <is>
          <t>Stock à payer</t>
        </is>
      </c>
      <c r="D165" s="32">
        <f>IF($D$151="Tréso",-$D$150,0)</f>
        <v/>
      </c>
    </row>
    <row r="168" ht="15" customHeight="1" s="24">
      <c r="A168" s="29" t="inlineStr">
        <is>
          <t>Capacité prod.</t>
        </is>
      </c>
      <c r="D168" s="32">
        <f>4+IFERROR(VLOOKUP($D$153,Données!$A$2:$V$38,18,0),0)</f>
        <v/>
      </c>
    </row>
    <row r="169" ht="15" customHeight="1" s="24">
      <c r="A169" s="29" t="inlineStr">
        <is>
          <t>Stocks dispo</t>
        </is>
      </c>
      <c r="D169" s="32">
        <f>C187+D164</f>
        <v/>
      </c>
    </row>
    <row r="170" ht="15" customHeight="1" s="24">
      <c r="A170" s="29" t="inlineStr">
        <is>
          <t>Unités vendues</t>
        </is>
      </c>
      <c r="D170" s="32" t="n">
        <v>0</v>
      </c>
    </row>
    <row r="171" ht="15" customHeight="1" s="24">
      <c r="A171" s="29" t="inlineStr">
        <is>
          <t>CA (Chiffre affaires)</t>
        </is>
      </c>
      <c r="D171" s="32">
        <f>D170*2000</f>
        <v/>
      </c>
    </row>
    <row r="172" ht="15" customHeight="1" s="24">
      <c r="A172" s="29" t="inlineStr">
        <is>
          <t>CMV (Coût matière)</t>
        </is>
      </c>
      <c r="D172" s="32">
        <f>-D170*1000</f>
        <v/>
      </c>
    </row>
    <row r="175" ht="15" customHeight="1" s="24">
      <c r="A175" s="29" t="inlineStr">
        <is>
          <t>Immobilisations</t>
        </is>
      </c>
      <c r="D175" s="32">
        <f>IFERROR(VLOOKUP($D$153,Données!$A$2:$V$38,4,0),0)</f>
        <v/>
      </c>
    </row>
    <row r="176" ht="15" customHeight="1" s="24">
      <c r="A176" s="29" t="inlineStr">
        <is>
          <t>Trésorerie</t>
        </is>
      </c>
      <c r="D176" s="32">
        <f>IFERROR(VLOOKUP($D$153,Données!$A$2:$V$38,5,0),0)</f>
        <v/>
      </c>
    </row>
    <row r="177" ht="15" customHeight="1" s="24">
      <c r="A177" s="29" t="inlineStr">
        <is>
          <t>Stocks</t>
        </is>
      </c>
      <c r="D177" s="32">
        <f>IFERROR(VLOOKUP($D$153,Données!$A$2:$V$38,19,0),0)</f>
        <v/>
      </c>
    </row>
    <row r="180" ht="15" customHeight="1" s="24">
      <c r="A180" s="29" t="inlineStr">
        <is>
          <t>Trésorerie</t>
        </is>
      </c>
      <c r="D180" s="32">
        <f>IFERROR(VLOOKUP($D$152,Données!$A$2:$V$38,5,0),0)</f>
        <v/>
      </c>
    </row>
    <row r="181" ht="15" customHeight="1" s="24">
      <c r="A181" s="29" t="inlineStr">
        <is>
          <t>Stocks</t>
        </is>
      </c>
      <c r="D181" s="32" t="n">
        <v>0</v>
      </c>
    </row>
    <row r="185" ht="15" customHeight="1" s="24">
      <c r="A185" s="27" t="inlineStr">
        <is>
          <t>📊 BILAN</t>
        </is>
      </c>
    </row>
    <row r="186" ht="15" customHeight="1" s="24">
      <c r="A186" s="33" t="inlineStr">
        <is>
          <t>Immobilisations</t>
        </is>
      </c>
      <c r="C186" s="34">
        <f>E119</f>
        <v/>
      </c>
      <c r="E186" s="34">
        <f>MAX(0,C186+D158+D175)</f>
        <v/>
      </c>
    </row>
    <row r="187" ht="15" customHeight="1" s="24">
      <c r="A187" s="29" t="inlineStr">
        <is>
          <t>Stocks</t>
        </is>
      </c>
      <c r="C187" s="35">
        <f>E120</f>
        <v/>
      </c>
      <c r="E187" s="35">
        <f>C187+D164+D177+D181</f>
        <v/>
      </c>
    </row>
    <row r="188" ht="15" customHeight="1" s="24">
      <c r="A188" s="29" t="inlineStr">
        <is>
          <t>Créances clients</t>
        </is>
      </c>
      <c r="C188" s="35">
        <f>E121</f>
        <v/>
      </c>
      <c r="E188" s="35">
        <f>C188+D171</f>
        <v/>
      </c>
    </row>
    <row r="189" ht="15" customHeight="1" s="24">
      <c r="A189" s="29" t="inlineStr">
        <is>
          <t>Trésorerie</t>
        </is>
      </c>
      <c r="C189" s="35">
        <f>E122</f>
        <v/>
      </c>
      <c r="E189" s="35">
        <f>C189+D157+D159+D165+D176+D180</f>
        <v/>
      </c>
    </row>
    <row r="190" ht="15" customHeight="1" s="24">
      <c r="A190" s="36" t="inlineStr">
        <is>
          <t>TOTAL ACTIF</t>
        </is>
      </c>
      <c r="C190" s="37">
        <f>SUM(C186:C189)</f>
        <v/>
      </c>
      <c r="E190" s="37">
        <f>SUM(E186:E189)</f>
        <v/>
      </c>
    </row>
    <row r="193" ht="15" customHeight="1" s="24">
      <c r="A193" s="33" t="inlineStr">
        <is>
          <t>Capitaux propres</t>
        </is>
      </c>
      <c r="C193" s="38">
        <f>E126</f>
        <v/>
      </c>
      <c r="E193" s="38">
        <f>C193</f>
        <v/>
      </c>
    </row>
    <row r="194" ht="15" customHeight="1" s="24">
      <c r="A194" s="29" t="inlineStr">
        <is>
          <t>Emprunts</t>
        </is>
      </c>
      <c r="C194" s="39">
        <f>E127</f>
        <v/>
      </c>
      <c r="E194" s="39">
        <f>C194+$D$149+D159</f>
        <v/>
      </c>
    </row>
    <row r="195" ht="15" customHeight="1" s="24">
      <c r="A195" s="29" t="inlineStr">
        <is>
          <t>Dettes fournisseurs</t>
        </is>
      </c>
      <c r="C195" s="39">
        <f>E128</f>
        <v/>
      </c>
      <c r="E195" s="39">
        <f>C195</f>
        <v/>
      </c>
    </row>
    <row r="196" ht="15" customHeight="1" s="24">
      <c r="A196" s="29" t="inlineStr">
        <is>
          <t>Découvert</t>
        </is>
      </c>
      <c r="C196" s="39">
        <f>E129</f>
        <v/>
      </c>
      <c r="E196" s="39">
        <f>C196+D160</f>
        <v/>
      </c>
    </row>
    <row r="197" ht="15" customHeight="1" s="24">
      <c r="A197" s="29" t="inlineStr">
        <is>
          <t>Résultat</t>
        </is>
      </c>
      <c r="C197" s="39">
        <f>E130</f>
        <v/>
      </c>
      <c r="E197" s="39">
        <f>E190-(E193+E194+E195+E196)</f>
        <v/>
      </c>
    </row>
    <row r="198" ht="15" customHeight="1" s="24">
      <c r="A198" s="36" t="inlineStr">
        <is>
          <t>TOTAL PASSIF</t>
        </is>
      </c>
      <c r="C198" s="37">
        <f>SUM(C193:C197)</f>
        <v/>
      </c>
      <c r="E198" s="37">
        <f>SUM(E193:E197)</f>
        <v/>
      </c>
    </row>
    <row r="199" ht="15" customHeight="1" s="24">
      <c r="A199" s="23" t="inlineStr">
        <is>
          <t>Équilibre (APRÈS)</t>
        </is>
      </c>
      <c r="C199" s="40">
        <f>E190-E198</f>
        <v/>
      </c>
    </row>
    <row r="200" ht="15" customHeight="1" s="24">
      <c r="A200" s="27" t="inlineStr">
        <is>
          <t>📈 COMPTE DE RÉSULTAT — TRIMESTRE 3</t>
        </is>
      </c>
    </row>
    <row r="201" ht="15" customHeight="1" s="24">
      <c r="A201" s="41" t="inlineStr">
        <is>
          <t>POSTE</t>
        </is>
      </c>
      <c r="B201" s="41" t="inlineStr">
        <is>
          <t>±</t>
        </is>
      </c>
      <c r="D201" s="41" t="inlineStr">
        <is>
          <t>MONTANT</t>
        </is>
      </c>
      <c r="F201" s="41" t="inlineStr">
        <is>
          <t>NOTE</t>
        </is>
      </c>
    </row>
    <row r="202" ht="15" customHeight="1" s="24">
      <c r="A202" s="42" t="inlineStr">
        <is>
          <t>CA ventes</t>
        </is>
      </c>
      <c r="B202" s="42" t="inlineStr">
        <is>
          <t>(+)</t>
        </is>
      </c>
      <c r="D202" s="43">
        <f>D171</f>
        <v/>
      </c>
      <c r="F202" s="42" t="inlineStr">
        <is>
          <t>Unités × 2 000 €/u</t>
        </is>
      </c>
    </row>
    <row r="203" ht="15" customHeight="1" s="24">
      <c r="A203" s="42" t="inlineStr">
        <is>
          <t>Produits except.</t>
        </is>
      </c>
      <c r="B203" s="42" t="inlineStr">
        <is>
          <t>(+)</t>
        </is>
      </c>
      <c r="D203" s="43">
        <f>IFERROR(VLOOKUP($D$153,Données!$A$2:$V$38,14,0),0)+IFERROR(VLOOKUP($D$154,Données!$B$45:$L$57,8,0),0)+IFERROR(VLOOKUP($D$153,Données!$A$2:$V$38,15,0),0)+IFERROR(VLOOKUP($D$154,Données!$B$45:$L$57,9,0),0)</f>
        <v/>
      </c>
      <c r="F203" s="42" t="inlineStr">
        <is>
          <t>Subvention, remb. assurance</t>
        </is>
      </c>
    </row>
    <row r="204" ht="15" customHeight="1" s="24">
      <c r="A204" s="36" t="inlineStr">
        <is>
          <t>TOTAL PRODUITS</t>
        </is>
      </c>
      <c r="B204" s="36" t="inlineStr">
        <is>
          <t>Σ</t>
        </is>
      </c>
      <c r="D204" s="37">
        <f>D202+D203</f>
        <v/>
      </c>
    </row>
    <row r="205" ht="15" customHeight="1" s="24">
      <c r="A205" s="44" t="inlineStr">
        <is>
          <t>CMV</t>
        </is>
      </c>
      <c r="B205" s="44" t="inlineStr">
        <is>
          <t>(−)</t>
        </is>
      </c>
      <c r="D205" s="39">
        <f>D172</f>
        <v/>
      </c>
      <c r="F205" s="44" t="inlineStr">
        <is>
          <t>Stocks à valeur d'achat</t>
        </is>
      </c>
    </row>
    <row r="206" ht="15" customHeight="1" s="24">
      <c r="A206" s="44" t="inlineStr">
        <is>
          <t>Ch. personnel</t>
        </is>
      </c>
      <c r="B206" s="44" t="inlineStr">
        <is>
          <t>(−)</t>
        </is>
      </c>
      <c r="D206" s="39">
        <f>IFERROR(VLOOKUP($D$152,Données!$A$2:$V$38,9,0),0)+IFERROR(VLOOKUP($D$153,Données!$A$2:$V$38,9,0),0)</f>
        <v/>
      </c>
      <c r="F206" s="44" t="inlineStr">
        <is>
          <t>Salaires commerciaux</t>
        </is>
      </c>
    </row>
    <row r="207" ht="15" customHeight="1" s="24">
      <c r="A207" s="44" t="inlineStr">
        <is>
          <t>Ch. fixes &amp; serv.</t>
        </is>
      </c>
      <c r="B207" s="44" t="inlineStr">
        <is>
          <t>(−)</t>
        </is>
      </c>
      <c r="D207" s="39">
        <f>-2000+IFERROR(VLOOKUP($D$153,Données!$A$2:$V$38,10,0),0)+IFERROR(VLOOKUP($D$154,Données!$B$45:$L$57,3,0),0)</f>
        <v/>
      </c>
      <c r="F207" s="44" t="inlineStr">
        <is>
          <t>Loyer -2000 + cartes</t>
        </is>
      </c>
    </row>
    <row r="208" ht="15" customHeight="1" s="24">
      <c r="A208" s="44" t="inlineStr">
        <is>
          <t>Dotations amort.</t>
        </is>
      </c>
      <c r="B208" s="44" t="inlineStr">
        <is>
          <t>(−)</t>
        </is>
      </c>
      <c r="D208" s="39">
        <f>D158</f>
        <v/>
      </c>
      <c r="F208" s="44" t="inlineStr">
        <is>
          <t>Amortissements</t>
        </is>
      </c>
    </row>
    <row r="209" ht="15" customHeight="1" s="24">
      <c r="A209" s="44" t="inlineStr">
        <is>
          <t>Ch. intérêt</t>
        </is>
      </c>
      <c r="B209" s="44" t="inlineStr">
        <is>
          <t>(−)</t>
        </is>
      </c>
      <c r="D209" s="39">
        <f>-D160+IFERROR(VLOOKUP($D$153,Données!$A$2:$V$38,12,0),0)</f>
        <v/>
      </c>
      <c r="F209" s="44" t="inlineStr">
        <is>
          <t>Agios + intérêts emprunt</t>
        </is>
      </c>
    </row>
    <row r="210" ht="15" customHeight="1" s="24">
      <c r="A210" s="36" t="inlineStr">
        <is>
          <t>TOTAL CHARGES</t>
        </is>
      </c>
      <c r="B210" s="36" t="inlineStr">
        <is>
          <t>Σ</t>
        </is>
      </c>
      <c r="D210" s="37">
        <f>SUM(D205:D209)</f>
        <v/>
      </c>
    </row>
    <row r="211" ht="15" customHeight="1" s="24">
      <c r="A211" s="45" t="inlineStr">
        <is>
          <t>RÉSULTAT NET</t>
        </is>
      </c>
      <c r="B211" s="45" t="inlineStr">
        <is>
          <t>=</t>
        </is>
      </c>
      <c r="D211" s="40">
        <f>D204+D210</f>
        <v/>
      </c>
    </row>
    <row r="213" ht="15" customHeight="1" s="24">
      <c r="A213" s="27" t="inlineStr">
        <is>
          <t>TRIMESTRE 4</t>
        </is>
      </c>
    </row>
    <row r="214" ht="15" customHeight="1" s="24">
      <c r="A214" s="28" t="inlineStr">
        <is>
          <t>📋 DÉCISIONS</t>
        </is>
      </c>
    </row>
    <row r="216" ht="15" customHeight="1" s="24">
      <c r="A216" s="29" t="inlineStr">
        <is>
          <t>Emprunt demandé :</t>
        </is>
      </c>
      <c r="D216" s="30" t="n">
        <v>0</v>
      </c>
    </row>
    <row r="217" ht="15" customHeight="1" s="24">
      <c r="A217" s="29" t="inlineStr">
        <is>
          <t>Achat de stock :</t>
        </is>
      </c>
      <c r="D217" s="30" t="n">
        <v>0</v>
      </c>
    </row>
    <row r="218" ht="15" customHeight="1" s="24">
      <c r="A218" s="29" t="inlineStr">
        <is>
          <t>Mode de trésorerie :</t>
        </is>
      </c>
      <c r="D218" s="26" t="inlineStr">
        <is>
          <t>Tréso</t>
        </is>
      </c>
    </row>
    <row r="219" ht="15" customHeight="1" s="24">
      <c r="A219" s="29" t="inlineStr">
        <is>
          <t>Recrutement :</t>
        </is>
      </c>
      <c r="D219" s="26" t="inlineStr">
        <is>
          <t>Aucun</t>
        </is>
      </c>
    </row>
    <row r="220" ht="15" customHeight="1" s="24">
      <c r="A220" s="29" t="inlineStr">
        <is>
          <t>Carte action :</t>
        </is>
      </c>
      <c r="D220" s="26" t="inlineStr">
        <is>
          <t>Aucune</t>
        </is>
      </c>
    </row>
    <row r="221" ht="15" customHeight="1" s="24">
      <c r="A221" s="29" t="inlineStr">
        <is>
          <t>Événement :</t>
        </is>
      </c>
      <c r="D221" s="26" t="inlineStr">
        <is>
          <t>Aucun</t>
        </is>
      </c>
    </row>
    <row r="223" ht="15" customHeight="1" s="24">
      <c r="A223" s="31" t="inlineStr">
        <is>
          <t>⚙️ EFFETS AUTOMATIQUES</t>
        </is>
      </c>
    </row>
    <row r="224" ht="15" customHeight="1" s="24">
      <c r="A224" s="29" t="inlineStr">
        <is>
          <t>Charges courantes</t>
        </is>
      </c>
      <c r="D224" s="32" t="n">
        <v>-2000</v>
      </c>
    </row>
    <row r="225" ht="15" customHeight="1" s="24">
      <c r="A225" s="29" t="inlineStr">
        <is>
          <t>Amortissements</t>
        </is>
      </c>
      <c r="D225" s="32">
        <f>MAX(-VLOOKUP($D$3,Données!$A$65:$J$68,6,0)*1000,-C253)</f>
        <v/>
      </c>
    </row>
    <row r="226" ht="15" customHeight="1" s="24">
      <c r="A226" s="29" t="inlineStr">
        <is>
          <t>Remboursements</t>
        </is>
      </c>
      <c r="D226" s="32">
        <f>IF(C261&gt;0,-1000,0)</f>
        <v/>
      </c>
    </row>
    <row r="227" ht="15" customHeight="1" s="24">
      <c r="A227" s="29" t="inlineStr">
        <is>
          <t>Agios</t>
        </is>
      </c>
      <c r="D227" s="32">
        <f>IF(C263&gt;0,MAX(1000,ROUNDUP(C263*0.10/1000,0)*1000),0)</f>
        <v/>
      </c>
    </row>
    <row r="228" ht="15" customHeight="1" s="24">
      <c r="A228" s="29" t="inlineStr">
        <is>
          <t>Règlement dettes</t>
        </is>
      </c>
      <c r="D228" s="32" t="n">
        <v>0</v>
      </c>
    </row>
    <row r="231" ht="15" customHeight="1" s="24">
      <c r="A231" s="29" t="inlineStr">
        <is>
          <t>Stock acheté</t>
        </is>
      </c>
      <c r="D231" s="32">
        <f>$D$217</f>
        <v/>
      </c>
    </row>
    <row r="232" ht="15" customHeight="1" s="24">
      <c r="A232" s="29" t="inlineStr">
        <is>
          <t>Stock à payer</t>
        </is>
      </c>
      <c r="D232" s="32">
        <f>IF($D$218="Tréso",-$D$217,0)</f>
        <v/>
      </c>
    </row>
    <row r="235" ht="15" customHeight="1" s="24">
      <c r="A235" s="29" t="inlineStr">
        <is>
          <t>Capacité prod.</t>
        </is>
      </c>
      <c r="D235" s="32">
        <f>4+IFERROR(VLOOKUP($D$220,Données!$A$2:$V$38,18,0),0)</f>
        <v/>
      </c>
    </row>
    <row r="236" ht="15" customHeight="1" s="24">
      <c r="A236" s="29" t="inlineStr">
        <is>
          <t>Stocks dispo</t>
        </is>
      </c>
      <c r="D236" s="32">
        <f>C254+D231</f>
        <v/>
      </c>
    </row>
    <row r="237" ht="15" customHeight="1" s="24">
      <c r="A237" s="29" t="inlineStr">
        <is>
          <t>Unités vendues</t>
        </is>
      </c>
      <c r="D237" s="32" t="n">
        <v>0</v>
      </c>
    </row>
    <row r="238" ht="15" customHeight="1" s="24">
      <c r="A238" s="29" t="inlineStr">
        <is>
          <t>CA (Chiffre affaires)</t>
        </is>
      </c>
      <c r="D238" s="32">
        <f>D237*2000</f>
        <v/>
      </c>
    </row>
    <row r="239" ht="15" customHeight="1" s="24">
      <c r="A239" s="29" t="inlineStr">
        <is>
          <t>CMV (Coût matière)</t>
        </is>
      </c>
      <c r="D239" s="32">
        <f>-D237*1000</f>
        <v/>
      </c>
    </row>
    <row r="242" ht="15" customHeight="1" s="24">
      <c r="A242" s="29" t="inlineStr">
        <is>
          <t>Immobilisations</t>
        </is>
      </c>
      <c r="D242" s="32">
        <f>IFERROR(VLOOKUP($D$220,Données!$A$2:$V$38,4,0),0)</f>
        <v/>
      </c>
    </row>
    <row r="243" ht="15" customHeight="1" s="24">
      <c r="A243" s="29" t="inlineStr">
        <is>
          <t>Trésorerie</t>
        </is>
      </c>
      <c r="D243" s="32">
        <f>IFERROR(VLOOKUP($D$220,Données!$A$2:$V$38,5,0),0)</f>
        <v/>
      </c>
    </row>
    <row r="244" ht="15" customHeight="1" s="24">
      <c r="A244" s="29" t="inlineStr">
        <is>
          <t>Stocks</t>
        </is>
      </c>
      <c r="D244" s="32">
        <f>IFERROR(VLOOKUP($D$220,Données!$A$2:$V$38,19,0),0)</f>
        <v/>
      </c>
    </row>
    <row r="247" ht="15" customHeight="1" s="24">
      <c r="A247" s="29" t="inlineStr">
        <is>
          <t>Trésorerie</t>
        </is>
      </c>
      <c r="D247" s="32">
        <f>IFERROR(VLOOKUP($D$219,Données!$A$2:$V$38,5,0),0)</f>
        <v/>
      </c>
    </row>
    <row r="248" ht="15" customHeight="1" s="24">
      <c r="A248" s="29" t="inlineStr">
        <is>
          <t>Stocks</t>
        </is>
      </c>
      <c r="D248" s="32" t="n">
        <v>0</v>
      </c>
    </row>
    <row r="252" ht="15" customHeight="1" s="24">
      <c r="A252" s="27" t="inlineStr">
        <is>
          <t>📊 BILAN</t>
        </is>
      </c>
    </row>
    <row r="253" ht="15" customHeight="1" s="24">
      <c r="A253" s="33" t="inlineStr">
        <is>
          <t>Immobilisations</t>
        </is>
      </c>
      <c r="C253" s="34">
        <f>E186</f>
        <v/>
      </c>
      <c r="E253" s="34">
        <f>MAX(0,C253+D225+D242)</f>
        <v/>
      </c>
    </row>
    <row r="254" ht="15" customHeight="1" s="24">
      <c r="A254" s="29" t="inlineStr">
        <is>
          <t>Stocks</t>
        </is>
      </c>
      <c r="C254" s="35">
        <f>E187</f>
        <v/>
      </c>
      <c r="E254" s="35">
        <f>C254+D231+D244+D248</f>
        <v/>
      </c>
    </row>
    <row r="255" ht="15" customHeight="1" s="24">
      <c r="A255" s="29" t="inlineStr">
        <is>
          <t>Créances clients</t>
        </is>
      </c>
      <c r="C255" s="35">
        <f>E188</f>
        <v/>
      </c>
      <c r="E255" s="35">
        <f>C255+D238</f>
        <v/>
      </c>
    </row>
    <row r="256" ht="15" customHeight="1" s="24">
      <c r="A256" s="29" t="inlineStr">
        <is>
          <t>Trésorerie</t>
        </is>
      </c>
      <c r="C256" s="35">
        <f>E189</f>
        <v/>
      </c>
      <c r="E256" s="35">
        <f>C256+D224+D226+D232+D243+D247</f>
        <v/>
      </c>
    </row>
    <row r="257" ht="15" customHeight="1" s="24">
      <c r="A257" s="36" t="inlineStr">
        <is>
          <t>TOTAL ACTIF</t>
        </is>
      </c>
      <c r="C257" s="37">
        <f>SUM(C253:C256)</f>
        <v/>
      </c>
      <c r="E257" s="37">
        <f>SUM(E253:E256)</f>
        <v/>
      </c>
    </row>
    <row r="260" ht="15" customHeight="1" s="24">
      <c r="A260" s="33" t="inlineStr">
        <is>
          <t>Capitaux propres</t>
        </is>
      </c>
      <c r="C260" s="38">
        <f>E193</f>
        <v/>
      </c>
      <c r="E260" s="38">
        <f>C260</f>
        <v/>
      </c>
    </row>
    <row r="261" ht="15" customHeight="1" s="24">
      <c r="A261" s="29" t="inlineStr">
        <is>
          <t>Emprunts</t>
        </is>
      </c>
      <c r="C261" s="39">
        <f>E194</f>
        <v/>
      </c>
      <c r="E261" s="39">
        <f>C261+$D$216+D226</f>
        <v/>
      </c>
    </row>
    <row r="262" ht="15" customHeight="1" s="24">
      <c r="A262" s="29" t="inlineStr">
        <is>
          <t>Dettes fournisseurs</t>
        </is>
      </c>
      <c r="C262" s="39">
        <f>E195</f>
        <v/>
      </c>
      <c r="E262" s="39">
        <f>C262</f>
        <v/>
      </c>
    </row>
    <row r="263" ht="15" customHeight="1" s="24">
      <c r="A263" s="29" t="inlineStr">
        <is>
          <t>Découvert</t>
        </is>
      </c>
      <c r="C263" s="39">
        <f>E196</f>
        <v/>
      </c>
      <c r="E263" s="39">
        <f>C263+D227</f>
        <v/>
      </c>
    </row>
    <row r="264" ht="15" customHeight="1" s="24">
      <c r="A264" s="29" t="inlineStr">
        <is>
          <t>Résultat</t>
        </is>
      </c>
      <c r="C264" s="39">
        <f>E197</f>
        <v/>
      </c>
      <c r="E264" s="39">
        <f>E257-(E260+E261+E262+E263)</f>
        <v/>
      </c>
    </row>
    <row r="265" ht="15" customHeight="1" s="24">
      <c r="A265" s="36" t="inlineStr">
        <is>
          <t>TOTAL PASSIF</t>
        </is>
      </c>
      <c r="C265" s="37">
        <f>SUM(C260:C264)</f>
        <v/>
      </c>
      <c r="E265" s="37">
        <f>SUM(E260:E264)</f>
        <v/>
      </c>
    </row>
    <row r="266" ht="15" customHeight="1" s="24">
      <c r="A266" s="23" t="inlineStr">
        <is>
          <t>Équilibre (APRÈS)</t>
        </is>
      </c>
      <c r="C266" s="40">
        <f>E257-E265</f>
        <v/>
      </c>
    </row>
    <row r="267" ht="15" customHeight="1" s="24">
      <c r="A267" s="27" t="inlineStr">
        <is>
          <t>📈 COMPTE DE RÉSULTAT — TRIMESTRE 4</t>
        </is>
      </c>
    </row>
    <row r="268" ht="15" customHeight="1" s="24">
      <c r="A268" s="41" t="inlineStr">
        <is>
          <t>POSTE</t>
        </is>
      </c>
      <c r="B268" s="41" t="inlineStr">
        <is>
          <t>±</t>
        </is>
      </c>
      <c r="D268" s="41" t="inlineStr">
        <is>
          <t>MONTANT</t>
        </is>
      </c>
      <c r="F268" s="41" t="inlineStr">
        <is>
          <t>NOTE</t>
        </is>
      </c>
    </row>
    <row r="269" ht="15" customHeight="1" s="24">
      <c r="A269" s="42" t="inlineStr">
        <is>
          <t>CA ventes</t>
        </is>
      </c>
      <c r="B269" s="42" t="inlineStr">
        <is>
          <t>(+)</t>
        </is>
      </c>
      <c r="D269" s="43">
        <f>D238</f>
        <v/>
      </c>
      <c r="F269" s="42" t="inlineStr">
        <is>
          <t>Unités × 2 000 €/u</t>
        </is>
      </c>
    </row>
    <row r="270" ht="15" customHeight="1" s="24">
      <c r="A270" s="42" t="inlineStr">
        <is>
          <t>Produits except.</t>
        </is>
      </c>
      <c r="B270" s="42" t="inlineStr">
        <is>
          <t>(+)</t>
        </is>
      </c>
      <c r="D270" s="43">
        <f>IFERROR(VLOOKUP($D$220,Données!$A$2:$V$38,14,0),0)+IFERROR(VLOOKUP($D$221,Données!$B$45:$L$57,8,0),0)+IFERROR(VLOOKUP($D$220,Données!$A$2:$V$38,15,0),0)+IFERROR(VLOOKUP($D$221,Données!$B$45:$L$57,9,0),0)</f>
        <v/>
      </c>
      <c r="F270" s="42" t="inlineStr">
        <is>
          <t>Subvention, remb. assurance</t>
        </is>
      </c>
    </row>
    <row r="271" ht="15" customHeight="1" s="24">
      <c r="A271" s="36" t="inlineStr">
        <is>
          <t>TOTAL PRODUITS</t>
        </is>
      </c>
      <c r="B271" s="36" t="inlineStr">
        <is>
          <t>Σ</t>
        </is>
      </c>
      <c r="D271" s="37">
        <f>D269+D270</f>
        <v/>
      </c>
    </row>
    <row r="272" ht="15" customHeight="1" s="24">
      <c r="A272" s="44" t="inlineStr">
        <is>
          <t>CMV</t>
        </is>
      </c>
      <c r="B272" s="44" t="inlineStr">
        <is>
          <t>(−)</t>
        </is>
      </c>
      <c r="D272" s="39">
        <f>D239</f>
        <v/>
      </c>
      <c r="F272" s="44" t="inlineStr">
        <is>
          <t>Stocks à valeur d'achat</t>
        </is>
      </c>
    </row>
    <row r="273" ht="15" customHeight="1" s="24">
      <c r="A273" s="44" t="inlineStr">
        <is>
          <t>Ch. personnel</t>
        </is>
      </c>
      <c r="B273" s="44" t="inlineStr">
        <is>
          <t>(−)</t>
        </is>
      </c>
      <c r="D273" s="39">
        <f>IFERROR(VLOOKUP($D$219,Données!$A$2:$V$38,9,0),0)+IFERROR(VLOOKUP($D$220,Données!$A$2:$V$38,9,0),0)</f>
        <v/>
      </c>
      <c r="F273" s="44" t="inlineStr">
        <is>
          <t>Salaires commerciaux</t>
        </is>
      </c>
    </row>
    <row r="274" ht="15" customHeight="1" s="24">
      <c r="A274" s="44" t="inlineStr">
        <is>
          <t>Ch. fixes &amp; serv.</t>
        </is>
      </c>
      <c r="B274" s="44" t="inlineStr">
        <is>
          <t>(−)</t>
        </is>
      </c>
      <c r="D274" s="39">
        <f>-2000+IFERROR(VLOOKUP($D$220,Données!$A$2:$V$38,10,0),0)+IFERROR(VLOOKUP($D$221,Données!$B$45:$L$57,3,0),0)</f>
        <v/>
      </c>
      <c r="F274" s="44" t="inlineStr">
        <is>
          <t>Loyer -2000 + cartes</t>
        </is>
      </c>
    </row>
    <row r="275" ht="15" customHeight="1" s="24">
      <c r="A275" s="44" t="inlineStr">
        <is>
          <t>Dotations amort.</t>
        </is>
      </c>
      <c r="B275" s="44" t="inlineStr">
        <is>
          <t>(−)</t>
        </is>
      </c>
      <c r="D275" s="39">
        <f>D225</f>
        <v/>
      </c>
      <c r="F275" s="44" t="inlineStr">
        <is>
          <t>Amortissements</t>
        </is>
      </c>
    </row>
    <row r="276" ht="15" customHeight="1" s="24">
      <c r="A276" s="44" t="inlineStr">
        <is>
          <t>Ch. intérêt</t>
        </is>
      </c>
      <c r="B276" s="44" t="inlineStr">
        <is>
          <t>(−)</t>
        </is>
      </c>
      <c r="D276" s="39">
        <f>-D227+IFERROR(VLOOKUP($D$220,Données!$A$2:$V$38,12,0),0)</f>
        <v/>
      </c>
      <c r="F276" s="44" t="inlineStr">
        <is>
          <t>Agios + intérêts emprunt</t>
        </is>
      </c>
    </row>
    <row r="277" ht="15" customHeight="1" s="24">
      <c r="A277" s="36" t="inlineStr">
        <is>
          <t>TOTAL CHARGES</t>
        </is>
      </c>
      <c r="B277" s="36" t="inlineStr">
        <is>
          <t>Σ</t>
        </is>
      </c>
      <c r="D277" s="37">
        <f>SUM(D272:D276)</f>
        <v/>
      </c>
    </row>
    <row r="278" ht="15" customHeight="1" s="24">
      <c r="A278" s="45" t="inlineStr">
        <is>
          <t>RÉSULTAT NET</t>
        </is>
      </c>
      <c r="B278" s="45" t="inlineStr">
        <is>
          <t>=</t>
        </is>
      </c>
      <c r="D278" s="40">
        <f>D271+D277</f>
        <v/>
      </c>
    </row>
    <row r="280" ht="15" customHeight="1" s="24">
      <c r="A280" s="27" t="inlineStr">
        <is>
          <t>TRIMESTRE 5</t>
        </is>
      </c>
    </row>
    <row r="281" ht="15" customHeight="1" s="24">
      <c r="A281" s="28" t="inlineStr">
        <is>
          <t>📋 DÉCISIONS</t>
        </is>
      </c>
    </row>
    <row r="283" ht="15" customHeight="1" s="24">
      <c r="A283" s="29" t="inlineStr">
        <is>
          <t>Emprunt demandé :</t>
        </is>
      </c>
      <c r="D283" s="30" t="n">
        <v>0</v>
      </c>
    </row>
    <row r="284" ht="15" customHeight="1" s="24">
      <c r="A284" s="29" t="inlineStr">
        <is>
          <t>Achat de stock :</t>
        </is>
      </c>
      <c r="D284" s="30" t="n">
        <v>0</v>
      </c>
    </row>
    <row r="285" ht="15" customHeight="1" s="24">
      <c r="A285" s="29" t="inlineStr">
        <is>
          <t>Mode de trésorerie :</t>
        </is>
      </c>
      <c r="D285" s="26" t="inlineStr">
        <is>
          <t>Tréso</t>
        </is>
      </c>
    </row>
    <row r="286" ht="15" customHeight="1" s="24">
      <c r="A286" s="29" t="inlineStr">
        <is>
          <t>Recrutement :</t>
        </is>
      </c>
      <c r="D286" s="26" t="inlineStr">
        <is>
          <t>Aucun</t>
        </is>
      </c>
    </row>
    <row r="287" ht="15" customHeight="1" s="24">
      <c r="A287" s="29" t="inlineStr">
        <is>
          <t>Carte action :</t>
        </is>
      </c>
      <c r="D287" s="26" t="inlineStr">
        <is>
          <t>Aucune</t>
        </is>
      </c>
    </row>
    <row r="288" ht="15" customHeight="1" s="24">
      <c r="A288" s="29" t="inlineStr">
        <is>
          <t>Événement :</t>
        </is>
      </c>
      <c r="D288" s="26" t="inlineStr">
        <is>
          <t>Aucun</t>
        </is>
      </c>
    </row>
    <row r="290" ht="15" customHeight="1" s="24">
      <c r="A290" s="31" t="inlineStr">
        <is>
          <t>⚙️ EFFETS AUTOMATIQUES</t>
        </is>
      </c>
    </row>
    <row r="291" ht="15" customHeight="1" s="24">
      <c r="A291" s="29" t="inlineStr">
        <is>
          <t>Charges courantes</t>
        </is>
      </c>
      <c r="D291" s="32" t="n">
        <v>-2000</v>
      </c>
    </row>
    <row r="292" ht="15" customHeight="1" s="24">
      <c r="A292" s="29" t="inlineStr">
        <is>
          <t>Amortissements</t>
        </is>
      </c>
      <c r="D292" s="32">
        <f>MAX(-VLOOKUP($D$3,Données!$A$65:$J$68,6,0)*1000,-C320)</f>
        <v/>
      </c>
    </row>
    <row r="293" ht="15" customHeight="1" s="24">
      <c r="A293" s="29" t="inlineStr">
        <is>
          <t>Remboursements</t>
        </is>
      </c>
      <c r="D293" s="32">
        <f>IF(C328&gt;0,-1000,0)</f>
        <v/>
      </c>
    </row>
    <row r="294" ht="15" customHeight="1" s="24">
      <c r="A294" s="29" t="inlineStr">
        <is>
          <t>Agios</t>
        </is>
      </c>
      <c r="D294" s="32">
        <f>IF(C330&gt;0,MAX(1000,ROUNDUP(C330*0.10/1000,0)*1000),0)</f>
        <v/>
      </c>
    </row>
    <row r="295" ht="15" customHeight="1" s="24">
      <c r="A295" s="29" t="inlineStr">
        <is>
          <t>Règlement dettes</t>
        </is>
      </c>
      <c r="D295" s="32" t="n">
        <v>0</v>
      </c>
    </row>
    <row r="298" ht="15" customHeight="1" s="24">
      <c r="A298" s="29" t="inlineStr">
        <is>
          <t>Stock acheté</t>
        </is>
      </c>
      <c r="D298" s="32">
        <f>$D$284</f>
        <v/>
      </c>
    </row>
    <row r="299" ht="15" customHeight="1" s="24">
      <c r="A299" s="29" t="inlineStr">
        <is>
          <t>Stock à payer</t>
        </is>
      </c>
      <c r="D299" s="32">
        <f>IF($D$285="Tréso",-$D$284,0)</f>
        <v/>
      </c>
    </row>
    <row r="302" ht="15" customHeight="1" s="24">
      <c r="A302" s="29" t="inlineStr">
        <is>
          <t>Capacité prod.</t>
        </is>
      </c>
      <c r="D302" s="32">
        <f>4+IFERROR(VLOOKUP($D$287,Données!$A$2:$V$38,18,0),0)</f>
        <v/>
      </c>
    </row>
    <row r="303" ht="15" customHeight="1" s="24">
      <c r="A303" s="29" t="inlineStr">
        <is>
          <t>Stocks dispo</t>
        </is>
      </c>
      <c r="D303" s="32">
        <f>C321+D298</f>
        <v/>
      </c>
    </row>
    <row r="304" ht="15" customHeight="1" s="24">
      <c r="A304" s="29" t="inlineStr">
        <is>
          <t>Unités vendues</t>
        </is>
      </c>
      <c r="D304" s="32" t="n">
        <v>0</v>
      </c>
    </row>
    <row r="305" ht="15" customHeight="1" s="24">
      <c r="A305" s="29" t="inlineStr">
        <is>
          <t>CA (Chiffre affaires)</t>
        </is>
      </c>
      <c r="D305" s="32">
        <f>D304*2000</f>
        <v/>
      </c>
    </row>
    <row r="306" ht="15" customHeight="1" s="24">
      <c r="A306" s="29" t="inlineStr">
        <is>
          <t>CMV (Coût matière)</t>
        </is>
      </c>
      <c r="D306" s="32">
        <f>-D304*1000</f>
        <v/>
      </c>
    </row>
    <row r="309" ht="15" customHeight="1" s="24">
      <c r="A309" s="29" t="inlineStr">
        <is>
          <t>Immobilisations</t>
        </is>
      </c>
      <c r="D309" s="32">
        <f>IFERROR(VLOOKUP($D$287,Données!$A$2:$V$38,4,0),0)</f>
        <v/>
      </c>
    </row>
    <row r="310" ht="15" customHeight="1" s="24">
      <c r="A310" s="29" t="inlineStr">
        <is>
          <t>Trésorerie</t>
        </is>
      </c>
      <c r="D310" s="32">
        <f>IFERROR(VLOOKUP($D$287,Données!$A$2:$V$38,5,0),0)</f>
        <v/>
      </c>
    </row>
    <row r="311" ht="15" customHeight="1" s="24">
      <c r="A311" s="29" t="inlineStr">
        <is>
          <t>Stocks</t>
        </is>
      </c>
      <c r="D311" s="32">
        <f>IFERROR(VLOOKUP($D$287,Données!$A$2:$V$38,19,0),0)</f>
        <v/>
      </c>
    </row>
    <row r="314" ht="15" customHeight="1" s="24">
      <c r="A314" s="29" t="inlineStr">
        <is>
          <t>Trésorerie</t>
        </is>
      </c>
      <c r="D314" s="32">
        <f>IFERROR(VLOOKUP($D$286,Données!$A$2:$V$38,5,0),0)</f>
        <v/>
      </c>
    </row>
    <row r="315" ht="15" customHeight="1" s="24">
      <c r="A315" s="29" t="inlineStr">
        <is>
          <t>Stocks</t>
        </is>
      </c>
      <c r="D315" s="32" t="n">
        <v>0</v>
      </c>
    </row>
    <row r="319" ht="15" customHeight="1" s="24">
      <c r="A319" s="27" t="inlineStr">
        <is>
          <t>📊 BILAN</t>
        </is>
      </c>
    </row>
    <row r="320" ht="15" customHeight="1" s="24">
      <c r="A320" s="33" t="inlineStr">
        <is>
          <t>Immobilisations</t>
        </is>
      </c>
      <c r="C320" s="34">
        <f>E253</f>
        <v/>
      </c>
      <c r="E320" s="34">
        <f>MAX(0,C320+D292+D309)</f>
        <v/>
      </c>
    </row>
    <row r="321" ht="15" customHeight="1" s="24">
      <c r="A321" s="29" t="inlineStr">
        <is>
          <t>Stocks</t>
        </is>
      </c>
      <c r="C321" s="35">
        <f>E254</f>
        <v/>
      </c>
      <c r="E321" s="35">
        <f>C321+D298+D311+D315</f>
        <v/>
      </c>
    </row>
    <row r="322" ht="15" customHeight="1" s="24">
      <c r="A322" s="29" t="inlineStr">
        <is>
          <t>Créances clients</t>
        </is>
      </c>
      <c r="C322" s="35">
        <f>E255</f>
        <v/>
      </c>
      <c r="E322" s="35">
        <f>C322+D305</f>
        <v/>
      </c>
    </row>
    <row r="323" ht="15" customHeight="1" s="24">
      <c r="A323" s="29" t="inlineStr">
        <is>
          <t>Trésorerie</t>
        </is>
      </c>
      <c r="C323" s="35">
        <f>E256</f>
        <v/>
      </c>
      <c r="E323" s="35">
        <f>C323+D291+D293+D299+D310+D314</f>
        <v/>
      </c>
    </row>
    <row r="324" ht="15" customHeight="1" s="24">
      <c r="A324" s="36" t="inlineStr">
        <is>
          <t>TOTAL ACTIF</t>
        </is>
      </c>
      <c r="C324" s="37">
        <f>SUM(C320:C323)</f>
        <v/>
      </c>
      <c r="E324" s="37">
        <f>SUM(E320:E323)</f>
        <v/>
      </c>
    </row>
    <row r="327" ht="15" customHeight="1" s="24">
      <c r="A327" s="33" t="inlineStr">
        <is>
          <t>Capitaux propres</t>
        </is>
      </c>
      <c r="C327" s="38">
        <f>E260</f>
        <v/>
      </c>
      <c r="E327" s="38">
        <f>C327</f>
        <v/>
      </c>
    </row>
    <row r="328" ht="15" customHeight="1" s="24">
      <c r="A328" s="29" t="inlineStr">
        <is>
          <t>Emprunts</t>
        </is>
      </c>
      <c r="C328" s="39">
        <f>E261</f>
        <v/>
      </c>
      <c r="E328" s="39">
        <f>C328+$D$283+D293</f>
        <v/>
      </c>
    </row>
    <row r="329" ht="15" customHeight="1" s="24">
      <c r="A329" s="29" t="inlineStr">
        <is>
          <t>Dettes fournisseurs</t>
        </is>
      </c>
      <c r="C329" s="39">
        <f>E262</f>
        <v/>
      </c>
      <c r="E329" s="39">
        <f>C329</f>
        <v/>
      </c>
    </row>
    <row r="330" ht="15" customHeight="1" s="24">
      <c r="A330" s="29" t="inlineStr">
        <is>
          <t>Découvert</t>
        </is>
      </c>
      <c r="C330" s="39">
        <f>E263</f>
        <v/>
      </c>
      <c r="E330" s="39">
        <f>C330+D294</f>
        <v/>
      </c>
    </row>
    <row r="331" ht="15" customHeight="1" s="24">
      <c r="A331" s="29" t="inlineStr">
        <is>
          <t>Résultat</t>
        </is>
      </c>
      <c r="C331" s="39">
        <f>E264</f>
        <v/>
      </c>
      <c r="E331" s="39">
        <f>E324-(E327+E328+E329+E330)</f>
        <v/>
      </c>
    </row>
    <row r="332" ht="15" customHeight="1" s="24">
      <c r="A332" s="36" t="inlineStr">
        <is>
          <t>TOTAL PASSIF</t>
        </is>
      </c>
      <c r="C332" s="37">
        <f>SUM(C327:C331)</f>
        <v/>
      </c>
      <c r="E332" s="37">
        <f>SUM(E327:E331)</f>
        <v/>
      </c>
    </row>
    <row r="333" ht="15" customHeight="1" s="24">
      <c r="A333" s="23" t="inlineStr">
        <is>
          <t>Équilibre (APRÈS)</t>
        </is>
      </c>
      <c r="C333" s="40">
        <f>E324-E332</f>
        <v/>
      </c>
    </row>
    <row r="334" ht="15" customHeight="1" s="24">
      <c r="A334" s="27" t="inlineStr">
        <is>
          <t>📈 COMPTE DE RÉSULTAT — TRIMESTRE 5</t>
        </is>
      </c>
    </row>
    <row r="335" ht="15" customHeight="1" s="24">
      <c r="A335" s="41" t="inlineStr">
        <is>
          <t>POSTE</t>
        </is>
      </c>
      <c r="B335" s="41" t="inlineStr">
        <is>
          <t>±</t>
        </is>
      </c>
      <c r="D335" s="41" t="inlineStr">
        <is>
          <t>MONTANT</t>
        </is>
      </c>
      <c r="F335" s="41" t="inlineStr">
        <is>
          <t>NOTE</t>
        </is>
      </c>
    </row>
    <row r="336" ht="15" customHeight="1" s="24">
      <c r="A336" s="42" t="inlineStr">
        <is>
          <t>CA ventes</t>
        </is>
      </c>
      <c r="B336" s="42" t="inlineStr">
        <is>
          <t>(+)</t>
        </is>
      </c>
      <c r="D336" s="43">
        <f>D305</f>
        <v/>
      </c>
      <c r="F336" s="42" t="inlineStr">
        <is>
          <t>Unités × 2 000 €/u</t>
        </is>
      </c>
    </row>
    <row r="337" ht="15" customHeight="1" s="24">
      <c r="A337" s="42" t="inlineStr">
        <is>
          <t>Produits except.</t>
        </is>
      </c>
      <c r="B337" s="42" t="inlineStr">
        <is>
          <t>(+)</t>
        </is>
      </c>
      <c r="D337" s="43">
        <f>IFERROR(VLOOKUP($D$287,Données!$A$2:$V$38,14,0),0)+IFERROR(VLOOKUP($D$288,Données!$B$45:$L$57,8,0),0)+IFERROR(VLOOKUP($D$287,Données!$A$2:$V$38,15,0),0)+IFERROR(VLOOKUP($D$288,Données!$B$45:$L$57,9,0),0)</f>
        <v/>
      </c>
      <c r="F337" s="42" t="inlineStr">
        <is>
          <t>Subvention, remb. assurance</t>
        </is>
      </c>
    </row>
    <row r="338" ht="15" customHeight="1" s="24">
      <c r="A338" s="36" t="inlineStr">
        <is>
          <t>TOTAL PRODUITS</t>
        </is>
      </c>
      <c r="B338" s="36" t="inlineStr">
        <is>
          <t>Σ</t>
        </is>
      </c>
      <c r="D338" s="37">
        <f>D336+D337</f>
        <v/>
      </c>
    </row>
    <row r="339" ht="15" customHeight="1" s="24">
      <c r="A339" s="44" t="inlineStr">
        <is>
          <t>CMV</t>
        </is>
      </c>
      <c r="B339" s="44" t="inlineStr">
        <is>
          <t>(−)</t>
        </is>
      </c>
      <c r="D339" s="39">
        <f>D306</f>
        <v/>
      </c>
      <c r="F339" s="44" t="inlineStr">
        <is>
          <t>Stocks à valeur d'achat</t>
        </is>
      </c>
    </row>
    <row r="340" ht="15" customHeight="1" s="24">
      <c r="A340" s="44" t="inlineStr">
        <is>
          <t>Ch. personnel</t>
        </is>
      </c>
      <c r="B340" s="44" t="inlineStr">
        <is>
          <t>(−)</t>
        </is>
      </c>
      <c r="D340" s="39">
        <f>IFERROR(VLOOKUP($D$286,Données!$A$2:$V$38,9,0),0)+IFERROR(VLOOKUP($D$287,Données!$A$2:$V$38,9,0),0)</f>
        <v/>
      </c>
      <c r="F340" s="44" t="inlineStr">
        <is>
          <t>Salaires commerciaux</t>
        </is>
      </c>
    </row>
    <row r="341" ht="15" customHeight="1" s="24">
      <c r="A341" s="44" t="inlineStr">
        <is>
          <t>Ch. fixes &amp; serv.</t>
        </is>
      </c>
      <c r="B341" s="44" t="inlineStr">
        <is>
          <t>(−)</t>
        </is>
      </c>
      <c r="D341" s="39">
        <f>-2000+IFERROR(VLOOKUP($D$287,Données!$A$2:$V$38,10,0),0)+IFERROR(VLOOKUP($D$288,Données!$B$45:$L$57,3,0),0)</f>
        <v/>
      </c>
      <c r="F341" s="44" t="inlineStr">
        <is>
          <t>Loyer -2000 + cartes</t>
        </is>
      </c>
    </row>
    <row r="342" ht="15" customHeight="1" s="24">
      <c r="A342" s="44" t="inlineStr">
        <is>
          <t>Dotations amort.</t>
        </is>
      </c>
      <c r="B342" s="44" t="inlineStr">
        <is>
          <t>(−)</t>
        </is>
      </c>
      <c r="D342" s="39">
        <f>D292</f>
        <v/>
      </c>
      <c r="F342" s="44" t="inlineStr">
        <is>
          <t>Amortissements</t>
        </is>
      </c>
    </row>
    <row r="343" ht="15" customHeight="1" s="24">
      <c r="A343" s="44" t="inlineStr">
        <is>
          <t>Ch. intérêt</t>
        </is>
      </c>
      <c r="B343" s="44" t="inlineStr">
        <is>
          <t>(−)</t>
        </is>
      </c>
      <c r="D343" s="39">
        <f>-D294+IFERROR(VLOOKUP($D$287,Données!$A$2:$V$38,12,0),0)</f>
        <v/>
      </c>
      <c r="F343" s="44" t="inlineStr">
        <is>
          <t>Agios + intérêts emprunt</t>
        </is>
      </c>
    </row>
    <row r="344" ht="15" customHeight="1" s="24">
      <c r="A344" s="36" t="inlineStr">
        <is>
          <t>TOTAL CHARGES</t>
        </is>
      </c>
      <c r="B344" s="36" t="inlineStr">
        <is>
          <t>Σ</t>
        </is>
      </c>
      <c r="D344" s="37">
        <f>SUM(D339:D343)</f>
        <v/>
      </c>
    </row>
    <row r="345" ht="15" customHeight="1" s="24">
      <c r="A345" s="45" t="inlineStr">
        <is>
          <t>RÉSULTAT NET</t>
        </is>
      </c>
      <c r="B345" s="45" t="inlineStr">
        <is>
          <t>=</t>
        </is>
      </c>
      <c r="D345" s="40">
        <f>D338+D344</f>
        <v/>
      </c>
    </row>
    <row r="347" ht="15" customHeight="1" s="24">
      <c r="A347" s="27" t="inlineStr">
        <is>
          <t>TRIMESTRE 6</t>
        </is>
      </c>
    </row>
    <row r="348" ht="15" customHeight="1" s="24">
      <c r="A348" s="28" t="inlineStr">
        <is>
          <t>📋 DÉCISIONS</t>
        </is>
      </c>
    </row>
    <row r="350" ht="15" customHeight="1" s="24">
      <c r="A350" s="29" t="inlineStr">
        <is>
          <t>Emprunt demandé :</t>
        </is>
      </c>
      <c r="D350" s="30" t="n">
        <v>0</v>
      </c>
    </row>
    <row r="351" ht="15" customHeight="1" s="24">
      <c r="A351" s="29" t="inlineStr">
        <is>
          <t>Achat de stock :</t>
        </is>
      </c>
      <c r="D351" s="30" t="n">
        <v>0</v>
      </c>
    </row>
    <row r="352" ht="15" customHeight="1" s="24">
      <c r="A352" s="29" t="inlineStr">
        <is>
          <t>Mode de trésorerie :</t>
        </is>
      </c>
      <c r="D352" s="26" t="inlineStr">
        <is>
          <t>Tréso</t>
        </is>
      </c>
    </row>
    <row r="353" ht="15" customHeight="1" s="24">
      <c r="A353" s="29" t="inlineStr">
        <is>
          <t>Recrutement :</t>
        </is>
      </c>
      <c r="D353" s="26" t="inlineStr">
        <is>
          <t>Aucun</t>
        </is>
      </c>
    </row>
    <row r="354" ht="15" customHeight="1" s="24">
      <c r="A354" s="29" t="inlineStr">
        <is>
          <t>Carte action :</t>
        </is>
      </c>
      <c r="D354" s="26" t="inlineStr">
        <is>
          <t>Aucune</t>
        </is>
      </c>
    </row>
    <row r="355" ht="15" customHeight="1" s="24">
      <c r="A355" s="29" t="inlineStr">
        <is>
          <t>Événement :</t>
        </is>
      </c>
      <c r="D355" s="26" t="inlineStr">
        <is>
          <t>Aucun</t>
        </is>
      </c>
    </row>
    <row r="357" ht="15" customHeight="1" s="24">
      <c r="A357" s="31" t="inlineStr">
        <is>
          <t>⚙️ EFFETS AUTOMATIQUES</t>
        </is>
      </c>
    </row>
    <row r="358" ht="15" customHeight="1" s="24">
      <c r="A358" s="29" t="inlineStr">
        <is>
          <t>Charges courantes</t>
        </is>
      </c>
      <c r="D358" s="32" t="n">
        <v>-2000</v>
      </c>
    </row>
    <row r="359" ht="15" customHeight="1" s="24">
      <c r="A359" s="29" t="inlineStr">
        <is>
          <t>Amortissements</t>
        </is>
      </c>
      <c r="D359" s="32">
        <f>MAX(-VLOOKUP($D$3,Données!$A$65:$J$68,6,0)*1000,-C387)</f>
        <v/>
      </c>
    </row>
    <row r="360" ht="15" customHeight="1" s="24">
      <c r="A360" s="29" t="inlineStr">
        <is>
          <t>Remboursements</t>
        </is>
      </c>
      <c r="D360" s="32">
        <f>IF(C395&gt;0,-1000,0)</f>
        <v/>
      </c>
    </row>
    <row r="361" ht="15" customHeight="1" s="24">
      <c r="A361" s="29" t="inlineStr">
        <is>
          <t>Agios</t>
        </is>
      </c>
      <c r="D361" s="32">
        <f>IF(C397&gt;0,MAX(1000,ROUNDUP(C397*0.10/1000,0)*1000),0)</f>
        <v/>
      </c>
    </row>
    <row r="362" ht="15" customHeight="1" s="24">
      <c r="A362" s="29" t="inlineStr">
        <is>
          <t>Règlement dettes</t>
        </is>
      </c>
      <c r="D362" s="32" t="n">
        <v>0</v>
      </c>
    </row>
    <row r="365" ht="15" customHeight="1" s="24">
      <c r="A365" s="29" t="inlineStr">
        <is>
          <t>Stock acheté</t>
        </is>
      </c>
      <c r="D365" s="32">
        <f>$D$351</f>
        <v/>
      </c>
    </row>
    <row r="366" ht="15" customHeight="1" s="24">
      <c r="A366" s="29" t="inlineStr">
        <is>
          <t>Stock à payer</t>
        </is>
      </c>
      <c r="D366" s="32">
        <f>IF($D$352="Tréso",-$D$351,0)</f>
        <v/>
      </c>
    </row>
    <row r="369" ht="15" customHeight="1" s="24">
      <c r="A369" s="29" t="inlineStr">
        <is>
          <t>Capacité prod.</t>
        </is>
      </c>
      <c r="D369" s="32">
        <f>4+IFERROR(VLOOKUP($D$354,Données!$A$2:$V$38,18,0),0)</f>
        <v/>
      </c>
    </row>
    <row r="370" ht="15" customHeight="1" s="24">
      <c r="A370" s="29" t="inlineStr">
        <is>
          <t>Stocks dispo</t>
        </is>
      </c>
      <c r="D370" s="32">
        <f>C388+D365</f>
        <v/>
      </c>
    </row>
    <row r="371" ht="15" customHeight="1" s="24">
      <c r="A371" s="29" t="inlineStr">
        <is>
          <t>Unités vendues</t>
        </is>
      </c>
      <c r="D371" s="32" t="n">
        <v>0</v>
      </c>
    </row>
    <row r="372" ht="15" customHeight="1" s="24">
      <c r="A372" s="29" t="inlineStr">
        <is>
          <t>CA (Chiffre affaires)</t>
        </is>
      </c>
      <c r="D372" s="32">
        <f>D371*2000</f>
        <v/>
      </c>
    </row>
    <row r="373" ht="15" customHeight="1" s="24">
      <c r="A373" s="29" t="inlineStr">
        <is>
          <t>CMV (Coût matière)</t>
        </is>
      </c>
      <c r="D373" s="32">
        <f>-D371*1000</f>
        <v/>
      </c>
    </row>
    <row r="376" ht="15" customHeight="1" s="24">
      <c r="A376" s="29" t="inlineStr">
        <is>
          <t>Immobilisations</t>
        </is>
      </c>
      <c r="D376" s="32">
        <f>IFERROR(VLOOKUP($D$354,Données!$A$2:$V$38,4,0),0)</f>
        <v/>
      </c>
    </row>
    <row r="377" ht="15" customHeight="1" s="24">
      <c r="A377" s="29" t="inlineStr">
        <is>
          <t>Trésorerie</t>
        </is>
      </c>
      <c r="D377" s="32">
        <f>IFERROR(VLOOKUP($D$354,Données!$A$2:$V$38,5,0),0)</f>
        <v/>
      </c>
    </row>
    <row r="378" ht="15" customHeight="1" s="24">
      <c r="A378" s="29" t="inlineStr">
        <is>
          <t>Stocks</t>
        </is>
      </c>
      <c r="D378" s="32">
        <f>IFERROR(VLOOKUP($D$354,Données!$A$2:$V$38,19,0),0)</f>
        <v/>
      </c>
    </row>
    <row r="381" ht="15" customHeight="1" s="24">
      <c r="A381" s="29" t="inlineStr">
        <is>
          <t>Trésorerie</t>
        </is>
      </c>
      <c r="D381" s="32">
        <f>IFERROR(VLOOKUP($D$353,Données!$A$2:$V$38,5,0),0)</f>
        <v/>
      </c>
    </row>
    <row r="382" ht="15" customHeight="1" s="24">
      <c r="A382" s="29" t="inlineStr">
        <is>
          <t>Stocks</t>
        </is>
      </c>
      <c r="D382" s="32" t="n">
        <v>0</v>
      </c>
    </row>
    <row r="386" ht="15" customHeight="1" s="24">
      <c r="A386" s="27" t="inlineStr">
        <is>
          <t>📊 BILAN</t>
        </is>
      </c>
    </row>
    <row r="387" ht="15" customHeight="1" s="24">
      <c r="A387" s="33" t="inlineStr">
        <is>
          <t>Immobilisations</t>
        </is>
      </c>
      <c r="C387" s="34">
        <f>E320</f>
        <v/>
      </c>
      <c r="E387" s="34">
        <f>MAX(0,C387+D359+D376)</f>
        <v/>
      </c>
    </row>
    <row r="388" ht="15" customHeight="1" s="24">
      <c r="A388" s="29" t="inlineStr">
        <is>
          <t>Stocks</t>
        </is>
      </c>
      <c r="C388" s="35">
        <f>E321</f>
        <v/>
      </c>
      <c r="E388" s="35">
        <f>C388+D365+D378+D382</f>
        <v/>
      </c>
    </row>
    <row r="389" ht="15" customHeight="1" s="24">
      <c r="A389" s="29" t="inlineStr">
        <is>
          <t>Créances clients</t>
        </is>
      </c>
      <c r="C389" s="35">
        <f>E322</f>
        <v/>
      </c>
      <c r="E389" s="35">
        <f>C389+D372</f>
        <v/>
      </c>
    </row>
    <row r="390" ht="15" customHeight="1" s="24">
      <c r="A390" s="29" t="inlineStr">
        <is>
          <t>Trésorerie</t>
        </is>
      </c>
      <c r="C390" s="35">
        <f>E323</f>
        <v/>
      </c>
      <c r="E390" s="35">
        <f>C390+D358+D360+D366+D377+D381</f>
        <v/>
      </c>
    </row>
    <row r="391" ht="15" customHeight="1" s="24">
      <c r="A391" s="36" t="inlineStr">
        <is>
          <t>TOTAL ACTIF</t>
        </is>
      </c>
      <c r="C391" s="37">
        <f>SUM(C387:C390)</f>
        <v/>
      </c>
      <c r="E391" s="37">
        <f>SUM(E387:E390)</f>
        <v/>
      </c>
    </row>
    <row r="394" ht="15" customHeight="1" s="24">
      <c r="A394" s="33" t="inlineStr">
        <is>
          <t>Capitaux propres</t>
        </is>
      </c>
      <c r="C394" s="38">
        <f>E327</f>
        <v/>
      </c>
      <c r="E394" s="38">
        <f>C394</f>
        <v/>
      </c>
    </row>
    <row r="395" ht="15" customHeight="1" s="24">
      <c r="A395" s="29" t="inlineStr">
        <is>
          <t>Emprunts</t>
        </is>
      </c>
      <c r="C395" s="39">
        <f>E328</f>
        <v/>
      </c>
      <c r="E395" s="39">
        <f>C395+$D$350+D360</f>
        <v/>
      </c>
    </row>
    <row r="396" ht="15" customHeight="1" s="24">
      <c r="A396" s="29" t="inlineStr">
        <is>
          <t>Dettes fournisseurs</t>
        </is>
      </c>
      <c r="C396" s="39">
        <f>E329</f>
        <v/>
      </c>
      <c r="E396" s="39">
        <f>C396</f>
        <v/>
      </c>
    </row>
    <row r="397" ht="15" customHeight="1" s="24">
      <c r="A397" s="29" t="inlineStr">
        <is>
          <t>Découvert</t>
        </is>
      </c>
      <c r="C397" s="39">
        <f>E330</f>
        <v/>
      </c>
      <c r="E397" s="39">
        <f>C397+D361</f>
        <v/>
      </c>
    </row>
    <row r="398" ht="15" customHeight="1" s="24">
      <c r="A398" s="29" t="inlineStr">
        <is>
          <t>Résultat</t>
        </is>
      </c>
      <c r="C398" s="39">
        <f>E331</f>
        <v/>
      </c>
      <c r="E398" s="39">
        <f>E391-(E394+E395+E396+E397)</f>
        <v/>
      </c>
    </row>
    <row r="399" ht="15" customHeight="1" s="24">
      <c r="A399" s="36" t="inlineStr">
        <is>
          <t>TOTAL PASSIF</t>
        </is>
      </c>
      <c r="C399" s="37">
        <f>SUM(C394:C398)</f>
        <v/>
      </c>
      <c r="E399" s="37">
        <f>SUM(E394:E398)</f>
        <v/>
      </c>
    </row>
    <row r="400" ht="15" customHeight="1" s="24">
      <c r="A400" s="23" t="inlineStr">
        <is>
          <t>Équilibre (APRÈS)</t>
        </is>
      </c>
      <c r="C400" s="40">
        <f>E391-E399</f>
        <v/>
      </c>
    </row>
    <row r="401" ht="15" customHeight="1" s="24">
      <c r="A401" s="27" t="inlineStr">
        <is>
          <t>📈 COMPTE DE RÉSULTAT — TRIMESTRE 6</t>
        </is>
      </c>
    </row>
    <row r="402" ht="15" customHeight="1" s="24">
      <c r="A402" s="41" t="inlineStr">
        <is>
          <t>POSTE</t>
        </is>
      </c>
      <c r="B402" s="41" t="inlineStr">
        <is>
          <t>±</t>
        </is>
      </c>
      <c r="D402" s="41" t="inlineStr">
        <is>
          <t>MONTANT</t>
        </is>
      </c>
      <c r="F402" s="41" t="inlineStr">
        <is>
          <t>NOTE</t>
        </is>
      </c>
    </row>
    <row r="403" ht="15" customHeight="1" s="24">
      <c r="A403" s="42" t="inlineStr">
        <is>
          <t>CA ventes</t>
        </is>
      </c>
      <c r="B403" s="42" t="inlineStr">
        <is>
          <t>(+)</t>
        </is>
      </c>
      <c r="D403" s="43">
        <f>D372</f>
        <v/>
      </c>
      <c r="F403" s="42" t="inlineStr">
        <is>
          <t>Unités × 2 000 €/u</t>
        </is>
      </c>
    </row>
    <row r="404" ht="15" customHeight="1" s="24">
      <c r="A404" s="42" t="inlineStr">
        <is>
          <t>Produits except.</t>
        </is>
      </c>
      <c r="B404" s="42" t="inlineStr">
        <is>
          <t>(+)</t>
        </is>
      </c>
      <c r="D404" s="43">
        <f>IFERROR(VLOOKUP($D$354,Données!$A$2:$V$38,14,0),0)+IFERROR(VLOOKUP($D$355,Données!$B$45:$L$57,8,0),0)+IFERROR(VLOOKUP($D$354,Données!$A$2:$V$38,15,0),0)+IFERROR(VLOOKUP($D$355,Données!$B$45:$L$57,9,0),0)</f>
        <v/>
      </c>
      <c r="F404" s="42" t="inlineStr">
        <is>
          <t>Subvention, remb. assurance</t>
        </is>
      </c>
    </row>
    <row r="405" ht="15" customHeight="1" s="24">
      <c r="A405" s="36" t="inlineStr">
        <is>
          <t>TOTAL PRODUITS</t>
        </is>
      </c>
      <c r="B405" s="36" t="inlineStr">
        <is>
          <t>Σ</t>
        </is>
      </c>
      <c r="D405" s="37">
        <f>D403+D404</f>
        <v/>
      </c>
    </row>
    <row r="406" ht="15" customHeight="1" s="24">
      <c r="A406" s="44" t="inlineStr">
        <is>
          <t>CMV</t>
        </is>
      </c>
      <c r="B406" s="44" t="inlineStr">
        <is>
          <t>(−)</t>
        </is>
      </c>
      <c r="D406" s="39">
        <f>D373</f>
        <v/>
      </c>
      <c r="F406" s="44" t="inlineStr">
        <is>
          <t>Stocks à valeur d'achat</t>
        </is>
      </c>
    </row>
    <row r="407" ht="15" customHeight="1" s="24">
      <c r="A407" s="44" t="inlineStr">
        <is>
          <t>Ch. personnel</t>
        </is>
      </c>
      <c r="B407" s="44" t="inlineStr">
        <is>
          <t>(−)</t>
        </is>
      </c>
      <c r="D407" s="39">
        <f>IFERROR(VLOOKUP($D$353,Données!$A$2:$V$38,9,0),0)+IFERROR(VLOOKUP($D$354,Données!$A$2:$V$38,9,0),0)</f>
        <v/>
      </c>
      <c r="F407" s="44" t="inlineStr">
        <is>
          <t>Salaires commerciaux</t>
        </is>
      </c>
    </row>
    <row r="408" ht="15" customHeight="1" s="24">
      <c r="A408" s="44" t="inlineStr">
        <is>
          <t>Ch. fixes &amp; serv.</t>
        </is>
      </c>
      <c r="B408" s="44" t="inlineStr">
        <is>
          <t>(−)</t>
        </is>
      </c>
      <c r="D408" s="39">
        <f>-2000+IFERROR(VLOOKUP($D$354,Données!$A$2:$V$38,10,0),0)+IFERROR(VLOOKUP($D$355,Données!$B$45:$L$57,3,0),0)</f>
        <v/>
      </c>
      <c r="F408" s="44" t="inlineStr">
        <is>
          <t>Loyer -2000 + cartes</t>
        </is>
      </c>
    </row>
    <row r="409" ht="15" customHeight="1" s="24">
      <c r="A409" s="44" t="inlineStr">
        <is>
          <t>Dotations amort.</t>
        </is>
      </c>
      <c r="B409" s="44" t="inlineStr">
        <is>
          <t>(−)</t>
        </is>
      </c>
      <c r="D409" s="39">
        <f>D359</f>
        <v/>
      </c>
      <c r="F409" s="44" t="inlineStr">
        <is>
          <t>Amortissements</t>
        </is>
      </c>
    </row>
    <row r="410" ht="15" customHeight="1" s="24">
      <c r="A410" s="44" t="inlineStr">
        <is>
          <t>Ch. intérêt</t>
        </is>
      </c>
      <c r="B410" s="44" t="inlineStr">
        <is>
          <t>(−)</t>
        </is>
      </c>
      <c r="D410" s="39">
        <f>-D361+IFERROR(VLOOKUP($D$354,Données!$A$2:$V$38,12,0),0)</f>
        <v/>
      </c>
      <c r="F410" s="44" t="inlineStr">
        <is>
          <t>Agios + intérêts emprunt</t>
        </is>
      </c>
    </row>
    <row r="411" ht="15" customHeight="1" s="24">
      <c r="A411" s="36" t="inlineStr">
        <is>
          <t>TOTAL CHARGES</t>
        </is>
      </c>
      <c r="B411" s="36" t="inlineStr">
        <is>
          <t>Σ</t>
        </is>
      </c>
      <c r="D411" s="37">
        <f>SUM(D406:D410)</f>
        <v/>
      </c>
    </row>
    <row r="412" ht="15" customHeight="1" s="24">
      <c r="A412" s="45" t="inlineStr">
        <is>
          <t>RÉSULTAT NET</t>
        </is>
      </c>
      <c r="B412" s="45" t="inlineStr">
        <is>
          <t>=</t>
        </is>
      </c>
      <c r="D412" s="40">
        <f>D405+D411</f>
        <v/>
      </c>
    </row>
    <row r="414" ht="15" customHeight="1" s="24">
      <c r="A414" s="27" t="inlineStr">
        <is>
          <t>TRIMESTRE 7</t>
        </is>
      </c>
    </row>
    <row r="415" ht="15" customHeight="1" s="24">
      <c r="A415" s="28" t="inlineStr">
        <is>
          <t>📋 DÉCISIONS</t>
        </is>
      </c>
    </row>
    <row r="417" ht="15" customHeight="1" s="24">
      <c r="A417" s="29" t="inlineStr">
        <is>
          <t>Emprunt demandé :</t>
        </is>
      </c>
      <c r="D417" s="30" t="n">
        <v>0</v>
      </c>
    </row>
    <row r="418" ht="15" customHeight="1" s="24">
      <c r="A418" s="29" t="inlineStr">
        <is>
          <t>Achat de stock :</t>
        </is>
      </c>
      <c r="D418" s="30" t="n">
        <v>0</v>
      </c>
    </row>
    <row r="419" ht="15" customHeight="1" s="24">
      <c r="A419" s="29" t="inlineStr">
        <is>
          <t>Mode de trésorerie :</t>
        </is>
      </c>
      <c r="D419" s="26" t="inlineStr">
        <is>
          <t>Tréso</t>
        </is>
      </c>
    </row>
    <row r="420" ht="15" customHeight="1" s="24">
      <c r="A420" s="29" t="inlineStr">
        <is>
          <t>Recrutement :</t>
        </is>
      </c>
      <c r="D420" s="26" t="inlineStr">
        <is>
          <t>Aucun</t>
        </is>
      </c>
    </row>
    <row r="421" ht="15" customHeight="1" s="24">
      <c r="A421" s="29" t="inlineStr">
        <is>
          <t>Carte action :</t>
        </is>
      </c>
      <c r="D421" s="26" t="inlineStr">
        <is>
          <t>Aucune</t>
        </is>
      </c>
    </row>
    <row r="422" ht="15" customHeight="1" s="24">
      <c r="A422" s="29" t="inlineStr">
        <is>
          <t>Événement :</t>
        </is>
      </c>
      <c r="D422" s="26" t="inlineStr">
        <is>
          <t>Aucun</t>
        </is>
      </c>
    </row>
    <row r="424" ht="15" customHeight="1" s="24">
      <c r="A424" s="31" t="inlineStr">
        <is>
          <t>⚙️ EFFETS AUTOMATIQUES</t>
        </is>
      </c>
    </row>
    <row r="425" ht="15" customHeight="1" s="24">
      <c r="A425" s="29" t="inlineStr">
        <is>
          <t>Charges courantes</t>
        </is>
      </c>
      <c r="D425" s="32" t="n">
        <v>-2000</v>
      </c>
    </row>
    <row r="426" ht="15" customHeight="1" s="24">
      <c r="A426" s="29" t="inlineStr">
        <is>
          <t>Amortissements</t>
        </is>
      </c>
      <c r="D426" s="32">
        <f>MAX(-VLOOKUP($D$3,Données!$A$65:$J$68,6,0)*1000,-C454)</f>
        <v/>
      </c>
    </row>
    <row r="427" ht="15" customHeight="1" s="24">
      <c r="A427" s="29" t="inlineStr">
        <is>
          <t>Remboursements</t>
        </is>
      </c>
      <c r="D427" s="32">
        <f>IF(C462&gt;0,-1000,0)</f>
        <v/>
      </c>
    </row>
    <row r="428" ht="15" customHeight="1" s="24">
      <c r="A428" s="29" t="inlineStr">
        <is>
          <t>Agios</t>
        </is>
      </c>
      <c r="D428" s="32">
        <f>IF(C464&gt;0,MAX(1000,ROUNDUP(C464*0.10/1000,0)*1000),0)</f>
        <v/>
      </c>
    </row>
    <row r="429" ht="15" customHeight="1" s="24">
      <c r="A429" s="29" t="inlineStr">
        <is>
          <t>Règlement dettes</t>
        </is>
      </c>
      <c r="D429" s="32" t="n">
        <v>0</v>
      </c>
    </row>
    <row r="432" ht="15" customHeight="1" s="24">
      <c r="A432" s="29" t="inlineStr">
        <is>
          <t>Stock acheté</t>
        </is>
      </c>
      <c r="D432" s="32">
        <f>$D$418</f>
        <v/>
      </c>
    </row>
    <row r="433" ht="15" customHeight="1" s="24">
      <c r="A433" s="29" t="inlineStr">
        <is>
          <t>Stock à payer</t>
        </is>
      </c>
      <c r="D433" s="32">
        <f>IF($D$419="Tréso",-$D$418,0)</f>
        <v/>
      </c>
    </row>
    <row r="436" ht="15" customHeight="1" s="24">
      <c r="A436" s="29" t="inlineStr">
        <is>
          <t>Capacité prod.</t>
        </is>
      </c>
      <c r="D436" s="32">
        <f>4+IFERROR(VLOOKUP($D$421,Données!$A$2:$V$38,18,0),0)</f>
        <v/>
      </c>
    </row>
    <row r="437" ht="15" customHeight="1" s="24">
      <c r="A437" s="29" t="inlineStr">
        <is>
          <t>Stocks dispo</t>
        </is>
      </c>
      <c r="D437" s="32">
        <f>C455+D432</f>
        <v/>
      </c>
    </row>
    <row r="438" ht="15" customHeight="1" s="24">
      <c r="A438" s="29" t="inlineStr">
        <is>
          <t>Unités vendues</t>
        </is>
      </c>
      <c r="D438" s="32" t="n">
        <v>0</v>
      </c>
    </row>
    <row r="439" ht="15" customHeight="1" s="24">
      <c r="A439" s="29" t="inlineStr">
        <is>
          <t>CA (Chiffre affaires)</t>
        </is>
      </c>
      <c r="D439" s="32">
        <f>D438*2000</f>
        <v/>
      </c>
    </row>
    <row r="440" ht="15" customHeight="1" s="24">
      <c r="A440" s="29" t="inlineStr">
        <is>
          <t>CMV (Coût matière)</t>
        </is>
      </c>
      <c r="D440" s="32">
        <f>-D438*1000</f>
        <v/>
      </c>
    </row>
    <row r="443" ht="15" customHeight="1" s="24">
      <c r="A443" s="29" t="inlineStr">
        <is>
          <t>Immobilisations</t>
        </is>
      </c>
      <c r="D443" s="32">
        <f>IFERROR(VLOOKUP($D$421,Données!$A$2:$V$38,4,0),0)</f>
        <v/>
      </c>
    </row>
    <row r="444" ht="15" customHeight="1" s="24">
      <c r="A444" s="29" t="inlineStr">
        <is>
          <t>Trésorerie</t>
        </is>
      </c>
      <c r="D444" s="32">
        <f>IFERROR(VLOOKUP($D$421,Données!$A$2:$V$38,5,0),0)</f>
        <v/>
      </c>
    </row>
    <row r="445" ht="15" customHeight="1" s="24">
      <c r="A445" s="29" t="inlineStr">
        <is>
          <t>Stocks</t>
        </is>
      </c>
      <c r="D445" s="32">
        <f>IFERROR(VLOOKUP($D$421,Données!$A$2:$V$38,19,0),0)</f>
        <v/>
      </c>
    </row>
    <row r="448" ht="15" customHeight="1" s="24">
      <c r="A448" s="29" t="inlineStr">
        <is>
          <t>Trésorerie</t>
        </is>
      </c>
      <c r="D448" s="32">
        <f>IFERROR(VLOOKUP($D$420,Données!$A$2:$V$38,5,0),0)</f>
        <v/>
      </c>
    </row>
    <row r="449" ht="15" customHeight="1" s="24">
      <c r="A449" s="29" t="inlineStr">
        <is>
          <t>Stocks</t>
        </is>
      </c>
      <c r="D449" s="32" t="n">
        <v>0</v>
      </c>
    </row>
    <row r="453" ht="15" customHeight="1" s="24">
      <c r="A453" s="27" t="inlineStr">
        <is>
          <t>📊 BILAN</t>
        </is>
      </c>
    </row>
    <row r="454" ht="15" customHeight="1" s="24">
      <c r="A454" s="33" t="inlineStr">
        <is>
          <t>Immobilisations</t>
        </is>
      </c>
      <c r="C454" s="34">
        <f>E387</f>
        <v/>
      </c>
      <c r="E454" s="34">
        <f>MAX(0,C454+D426+D443)</f>
        <v/>
      </c>
    </row>
    <row r="455" ht="15" customHeight="1" s="24">
      <c r="A455" s="29" t="inlineStr">
        <is>
          <t>Stocks</t>
        </is>
      </c>
      <c r="C455" s="35">
        <f>E388</f>
        <v/>
      </c>
      <c r="E455" s="35">
        <f>C455+D432+D445+D449</f>
        <v/>
      </c>
    </row>
    <row r="456" ht="15" customHeight="1" s="24">
      <c r="A456" s="29" t="inlineStr">
        <is>
          <t>Créances clients</t>
        </is>
      </c>
      <c r="C456" s="35">
        <f>E389</f>
        <v/>
      </c>
      <c r="E456" s="35">
        <f>C456+D439</f>
        <v/>
      </c>
    </row>
    <row r="457" ht="15" customHeight="1" s="24">
      <c r="A457" s="29" t="inlineStr">
        <is>
          <t>Trésorerie</t>
        </is>
      </c>
      <c r="C457" s="35">
        <f>E390</f>
        <v/>
      </c>
      <c r="E457" s="35">
        <f>C457+D425+D427+D433+D444+D448</f>
        <v/>
      </c>
    </row>
    <row r="458" ht="15" customHeight="1" s="24">
      <c r="A458" s="36" t="inlineStr">
        <is>
          <t>TOTAL ACTIF</t>
        </is>
      </c>
      <c r="C458" s="37">
        <f>SUM(C454:C457)</f>
        <v/>
      </c>
      <c r="E458" s="37">
        <f>SUM(E454:E457)</f>
        <v/>
      </c>
    </row>
    <row r="461" ht="15" customHeight="1" s="24">
      <c r="A461" s="33" t="inlineStr">
        <is>
          <t>Capitaux propres</t>
        </is>
      </c>
      <c r="C461" s="38">
        <f>E394</f>
        <v/>
      </c>
      <c r="E461" s="38">
        <f>C461</f>
        <v/>
      </c>
    </row>
    <row r="462" ht="15" customHeight="1" s="24">
      <c r="A462" s="29" t="inlineStr">
        <is>
          <t>Emprunts</t>
        </is>
      </c>
      <c r="C462" s="39">
        <f>E395</f>
        <v/>
      </c>
      <c r="E462" s="39">
        <f>C462+$D$417+D427</f>
        <v/>
      </c>
    </row>
    <row r="463" ht="15" customHeight="1" s="24">
      <c r="A463" s="29" t="inlineStr">
        <is>
          <t>Dettes fournisseurs</t>
        </is>
      </c>
      <c r="C463" s="39">
        <f>E396</f>
        <v/>
      </c>
      <c r="E463" s="39">
        <f>C463</f>
        <v/>
      </c>
    </row>
    <row r="464" ht="15" customHeight="1" s="24">
      <c r="A464" s="29" t="inlineStr">
        <is>
          <t>Découvert</t>
        </is>
      </c>
      <c r="C464" s="39">
        <f>E397</f>
        <v/>
      </c>
      <c r="E464" s="39">
        <f>C464+D428</f>
        <v/>
      </c>
    </row>
    <row r="465" ht="15" customHeight="1" s="24">
      <c r="A465" s="29" t="inlineStr">
        <is>
          <t>Résultat</t>
        </is>
      </c>
      <c r="C465" s="39">
        <f>E398</f>
        <v/>
      </c>
      <c r="E465" s="39">
        <f>E458-(E461+E462+E463+E464)</f>
        <v/>
      </c>
    </row>
    <row r="466" ht="15" customHeight="1" s="24">
      <c r="A466" s="36" t="inlineStr">
        <is>
          <t>TOTAL PASSIF</t>
        </is>
      </c>
      <c r="C466" s="37">
        <f>SUM(C461:C465)</f>
        <v/>
      </c>
      <c r="E466" s="37">
        <f>SUM(E461:E465)</f>
        <v/>
      </c>
    </row>
    <row r="467" ht="15" customHeight="1" s="24">
      <c r="A467" s="23" t="inlineStr">
        <is>
          <t>Équilibre (APRÈS)</t>
        </is>
      </c>
      <c r="C467" s="40">
        <f>E458-E466</f>
        <v/>
      </c>
    </row>
    <row r="468" ht="15" customHeight="1" s="24">
      <c r="A468" s="27" t="inlineStr">
        <is>
          <t>📈 COMPTE DE RÉSULTAT — TRIMESTRE 7</t>
        </is>
      </c>
    </row>
    <row r="469" ht="15" customHeight="1" s="24">
      <c r="A469" s="41" t="inlineStr">
        <is>
          <t>POSTE</t>
        </is>
      </c>
      <c r="B469" s="41" t="inlineStr">
        <is>
          <t>±</t>
        </is>
      </c>
      <c r="D469" s="41" t="inlineStr">
        <is>
          <t>MONTANT</t>
        </is>
      </c>
      <c r="F469" s="41" t="inlineStr">
        <is>
          <t>NOTE</t>
        </is>
      </c>
    </row>
    <row r="470" ht="15" customHeight="1" s="24">
      <c r="A470" s="42" t="inlineStr">
        <is>
          <t>CA ventes</t>
        </is>
      </c>
      <c r="B470" s="42" t="inlineStr">
        <is>
          <t>(+)</t>
        </is>
      </c>
      <c r="D470" s="43">
        <f>D439</f>
        <v/>
      </c>
      <c r="F470" s="42" t="inlineStr">
        <is>
          <t>Unités × 2 000 €/u</t>
        </is>
      </c>
    </row>
    <row r="471" ht="15" customHeight="1" s="24">
      <c r="A471" s="42" t="inlineStr">
        <is>
          <t>Produits except.</t>
        </is>
      </c>
      <c r="B471" s="42" t="inlineStr">
        <is>
          <t>(+)</t>
        </is>
      </c>
      <c r="D471" s="43">
        <f>IFERROR(VLOOKUP($D$421,Données!$A$2:$V$38,14,0),0)+IFERROR(VLOOKUP($D$422,Données!$B$45:$L$57,8,0),0)+IFERROR(VLOOKUP($D$421,Données!$A$2:$V$38,15,0),0)+IFERROR(VLOOKUP($D$422,Données!$B$45:$L$57,9,0),0)</f>
        <v/>
      </c>
      <c r="F471" s="42" t="inlineStr">
        <is>
          <t>Subvention, remb. assurance</t>
        </is>
      </c>
    </row>
    <row r="472" ht="15" customHeight="1" s="24">
      <c r="A472" s="36" t="inlineStr">
        <is>
          <t>TOTAL PRODUITS</t>
        </is>
      </c>
      <c r="B472" s="36" t="inlineStr">
        <is>
          <t>Σ</t>
        </is>
      </c>
      <c r="D472" s="37">
        <f>D470+D471</f>
        <v/>
      </c>
    </row>
    <row r="473" ht="15" customHeight="1" s="24">
      <c r="A473" s="44" t="inlineStr">
        <is>
          <t>CMV</t>
        </is>
      </c>
      <c r="B473" s="44" t="inlineStr">
        <is>
          <t>(−)</t>
        </is>
      </c>
      <c r="D473" s="39">
        <f>D440</f>
        <v/>
      </c>
      <c r="F473" s="44" t="inlineStr">
        <is>
          <t>Stocks à valeur d'achat</t>
        </is>
      </c>
    </row>
    <row r="474" ht="15" customHeight="1" s="24">
      <c r="A474" s="44" t="inlineStr">
        <is>
          <t>Ch. personnel</t>
        </is>
      </c>
      <c r="B474" s="44" t="inlineStr">
        <is>
          <t>(−)</t>
        </is>
      </c>
      <c r="D474" s="39">
        <f>IFERROR(VLOOKUP($D$420,Données!$A$2:$V$38,9,0),0)+IFERROR(VLOOKUP($D$421,Données!$A$2:$V$38,9,0),0)</f>
        <v/>
      </c>
      <c r="F474" s="44" t="inlineStr">
        <is>
          <t>Salaires commerciaux</t>
        </is>
      </c>
    </row>
    <row r="475" ht="15" customHeight="1" s="24">
      <c r="A475" s="44" t="inlineStr">
        <is>
          <t>Ch. fixes &amp; serv.</t>
        </is>
      </c>
      <c r="B475" s="44" t="inlineStr">
        <is>
          <t>(−)</t>
        </is>
      </c>
      <c r="D475" s="39">
        <f>-2000+IFERROR(VLOOKUP($D$421,Données!$A$2:$V$38,10,0),0)+IFERROR(VLOOKUP($D$422,Données!$B$45:$L$57,3,0),0)</f>
        <v/>
      </c>
      <c r="F475" s="44" t="inlineStr">
        <is>
          <t>Loyer -2000 + cartes</t>
        </is>
      </c>
    </row>
    <row r="476" ht="15" customHeight="1" s="24">
      <c r="A476" s="44" t="inlineStr">
        <is>
          <t>Dotations amort.</t>
        </is>
      </c>
      <c r="B476" s="44" t="inlineStr">
        <is>
          <t>(−)</t>
        </is>
      </c>
      <c r="D476" s="39">
        <f>D426</f>
        <v/>
      </c>
      <c r="F476" s="44" t="inlineStr">
        <is>
          <t>Amortissements</t>
        </is>
      </c>
    </row>
    <row r="477" ht="15" customHeight="1" s="24">
      <c r="A477" s="44" t="inlineStr">
        <is>
          <t>Ch. intérêt</t>
        </is>
      </c>
      <c r="B477" s="44" t="inlineStr">
        <is>
          <t>(−)</t>
        </is>
      </c>
      <c r="D477" s="39">
        <f>-D428+IFERROR(VLOOKUP($D$421,Données!$A$2:$V$38,12,0),0)</f>
        <v/>
      </c>
      <c r="F477" s="44" t="inlineStr">
        <is>
          <t>Agios + intérêts emprunt</t>
        </is>
      </c>
    </row>
    <row r="478" ht="15" customHeight="1" s="24">
      <c r="A478" s="36" t="inlineStr">
        <is>
          <t>TOTAL CHARGES</t>
        </is>
      </c>
      <c r="B478" s="36" t="inlineStr">
        <is>
          <t>Σ</t>
        </is>
      </c>
      <c r="D478" s="37">
        <f>SUM(D473:D477)</f>
        <v/>
      </c>
    </row>
    <row r="479" ht="15" customHeight="1" s="24">
      <c r="A479" s="45" t="inlineStr">
        <is>
          <t>RÉSULTAT NET</t>
        </is>
      </c>
      <c r="B479" s="45" t="inlineStr">
        <is>
          <t>=</t>
        </is>
      </c>
      <c r="D479" s="40">
        <f>D472+D478</f>
        <v/>
      </c>
    </row>
    <row r="481" ht="15" customHeight="1" s="24">
      <c r="A481" s="27" t="inlineStr">
        <is>
          <t>TRIMESTRE 8</t>
        </is>
      </c>
    </row>
    <row r="482" ht="15" customHeight="1" s="24">
      <c r="A482" s="28" t="inlineStr">
        <is>
          <t>📋 DÉCISIONS</t>
        </is>
      </c>
    </row>
    <row r="484" ht="15" customHeight="1" s="24">
      <c r="A484" s="29" t="inlineStr">
        <is>
          <t>Emprunt demandé :</t>
        </is>
      </c>
      <c r="D484" s="30" t="n">
        <v>0</v>
      </c>
    </row>
    <row r="485" ht="15" customHeight="1" s="24">
      <c r="A485" s="29" t="inlineStr">
        <is>
          <t>Achat de stock :</t>
        </is>
      </c>
      <c r="D485" s="30" t="n">
        <v>0</v>
      </c>
    </row>
    <row r="486" ht="15" customHeight="1" s="24">
      <c r="A486" s="29" t="inlineStr">
        <is>
          <t>Mode de trésorerie :</t>
        </is>
      </c>
      <c r="D486" s="26" t="inlineStr">
        <is>
          <t>Tréso</t>
        </is>
      </c>
    </row>
    <row r="487" ht="15" customHeight="1" s="24">
      <c r="A487" s="29" t="inlineStr">
        <is>
          <t>Recrutement :</t>
        </is>
      </c>
      <c r="D487" s="26" t="inlineStr">
        <is>
          <t>Aucun</t>
        </is>
      </c>
    </row>
    <row r="488" ht="15" customHeight="1" s="24">
      <c r="A488" s="29" t="inlineStr">
        <is>
          <t>Carte action :</t>
        </is>
      </c>
      <c r="D488" s="26" t="inlineStr">
        <is>
          <t>Aucune</t>
        </is>
      </c>
    </row>
    <row r="489" ht="15" customHeight="1" s="24">
      <c r="A489" s="29" t="inlineStr">
        <is>
          <t>Événement :</t>
        </is>
      </c>
      <c r="D489" s="26" t="inlineStr">
        <is>
          <t>Aucun</t>
        </is>
      </c>
    </row>
    <row r="491" ht="15" customHeight="1" s="24">
      <c r="A491" s="31" t="inlineStr">
        <is>
          <t>⚙️ EFFETS AUTOMATIQUES</t>
        </is>
      </c>
    </row>
    <row r="492" ht="15" customHeight="1" s="24">
      <c r="A492" s="29" t="inlineStr">
        <is>
          <t>Charges courantes</t>
        </is>
      </c>
      <c r="D492" s="32" t="n">
        <v>-2000</v>
      </c>
    </row>
    <row r="493" ht="15" customHeight="1" s="24">
      <c r="A493" s="29" t="inlineStr">
        <is>
          <t>Amortissements</t>
        </is>
      </c>
      <c r="D493" s="32">
        <f>MAX(-VLOOKUP($D$3,Données!$A$65:$J$68,6,0)*1000,-C521)</f>
        <v/>
      </c>
    </row>
    <row r="494" ht="15" customHeight="1" s="24">
      <c r="A494" s="29" t="inlineStr">
        <is>
          <t>Remboursements</t>
        </is>
      </c>
      <c r="D494" s="32">
        <f>IF(C529&gt;0,-1000,0)</f>
        <v/>
      </c>
    </row>
    <row r="495" ht="15" customHeight="1" s="24">
      <c r="A495" s="29" t="inlineStr">
        <is>
          <t>Agios</t>
        </is>
      </c>
      <c r="D495" s="32">
        <f>IF(C531&gt;0,MAX(1000,ROUNDUP(C531*0.10/1000,0)*1000),0)</f>
        <v/>
      </c>
    </row>
    <row r="496" ht="15" customHeight="1" s="24">
      <c r="A496" s="29" t="inlineStr">
        <is>
          <t>Règlement dettes</t>
        </is>
      </c>
      <c r="D496" s="32" t="n">
        <v>0</v>
      </c>
    </row>
    <row r="499" ht="15" customHeight="1" s="24">
      <c r="A499" s="29" t="inlineStr">
        <is>
          <t>Stock acheté</t>
        </is>
      </c>
      <c r="D499" s="32">
        <f>$D$485</f>
        <v/>
      </c>
    </row>
    <row r="500" ht="15" customHeight="1" s="24">
      <c r="A500" s="29" t="inlineStr">
        <is>
          <t>Stock à payer</t>
        </is>
      </c>
      <c r="D500" s="32">
        <f>IF($D$486="Tréso",-$D$485,0)</f>
        <v/>
      </c>
    </row>
    <row r="503" ht="15" customHeight="1" s="24">
      <c r="A503" s="29" t="inlineStr">
        <is>
          <t>Capacité prod.</t>
        </is>
      </c>
      <c r="D503" s="32">
        <f>4+IFERROR(VLOOKUP($D$488,Données!$A$2:$V$38,18,0),0)</f>
        <v/>
      </c>
    </row>
    <row r="504" ht="15" customHeight="1" s="24">
      <c r="A504" s="29" t="inlineStr">
        <is>
          <t>Stocks dispo</t>
        </is>
      </c>
      <c r="D504" s="32">
        <f>C522+D499</f>
        <v/>
      </c>
    </row>
    <row r="505" ht="15" customHeight="1" s="24">
      <c r="A505" s="29" t="inlineStr">
        <is>
          <t>Unités vendues</t>
        </is>
      </c>
      <c r="D505" s="32" t="n">
        <v>0</v>
      </c>
    </row>
    <row r="506" ht="15" customHeight="1" s="24">
      <c r="A506" s="29" t="inlineStr">
        <is>
          <t>CA (Chiffre affaires)</t>
        </is>
      </c>
      <c r="D506" s="32">
        <f>D505*2000</f>
        <v/>
      </c>
    </row>
    <row r="507" ht="15" customHeight="1" s="24">
      <c r="A507" s="29" t="inlineStr">
        <is>
          <t>CMV (Coût matière)</t>
        </is>
      </c>
      <c r="D507" s="32">
        <f>-D505*1000</f>
        <v/>
      </c>
    </row>
    <row r="510" ht="15" customHeight="1" s="24">
      <c r="A510" s="29" t="inlineStr">
        <is>
          <t>Immobilisations</t>
        </is>
      </c>
      <c r="D510" s="32">
        <f>IFERROR(VLOOKUP($D$488,Données!$A$2:$V$38,4,0),0)</f>
        <v/>
      </c>
    </row>
    <row r="511" ht="15" customHeight="1" s="24">
      <c r="A511" s="29" t="inlineStr">
        <is>
          <t>Trésorerie</t>
        </is>
      </c>
      <c r="D511" s="32">
        <f>IFERROR(VLOOKUP($D$488,Données!$A$2:$V$38,5,0),0)</f>
        <v/>
      </c>
    </row>
    <row r="512" ht="15" customHeight="1" s="24">
      <c r="A512" s="29" t="inlineStr">
        <is>
          <t>Stocks</t>
        </is>
      </c>
      <c r="D512" s="32">
        <f>IFERROR(VLOOKUP($D$488,Données!$A$2:$V$38,19,0),0)</f>
        <v/>
      </c>
    </row>
    <row r="515" ht="15" customHeight="1" s="24">
      <c r="A515" s="29" t="inlineStr">
        <is>
          <t>Trésorerie</t>
        </is>
      </c>
      <c r="D515" s="32">
        <f>IFERROR(VLOOKUP($D$487,Données!$A$2:$V$38,5,0),0)</f>
        <v/>
      </c>
    </row>
    <row r="516" ht="15" customHeight="1" s="24">
      <c r="A516" s="29" t="inlineStr">
        <is>
          <t>Stocks</t>
        </is>
      </c>
      <c r="D516" s="32" t="n">
        <v>0</v>
      </c>
    </row>
    <row r="520" ht="15" customHeight="1" s="24">
      <c r="A520" s="27" t="inlineStr">
        <is>
          <t>📊 BILAN</t>
        </is>
      </c>
    </row>
    <row r="521" ht="15" customHeight="1" s="24">
      <c r="A521" s="33" t="inlineStr">
        <is>
          <t>Immobilisations</t>
        </is>
      </c>
      <c r="C521" s="34">
        <f>E454</f>
        <v/>
      </c>
      <c r="E521" s="34">
        <f>MAX(0,C521+D493+D510)</f>
        <v/>
      </c>
    </row>
    <row r="522" ht="15" customHeight="1" s="24">
      <c r="A522" s="29" t="inlineStr">
        <is>
          <t>Stocks</t>
        </is>
      </c>
      <c r="C522" s="35">
        <f>E455</f>
        <v/>
      </c>
      <c r="E522" s="35">
        <f>C522+D499+D512+D516</f>
        <v/>
      </c>
    </row>
    <row r="523" ht="15" customHeight="1" s="24">
      <c r="A523" s="29" t="inlineStr">
        <is>
          <t>Créances clients</t>
        </is>
      </c>
      <c r="C523" s="35">
        <f>E456</f>
        <v/>
      </c>
      <c r="E523" s="35">
        <f>C523+D506</f>
        <v/>
      </c>
    </row>
    <row r="524" ht="15" customHeight="1" s="24">
      <c r="A524" s="29" t="inlineStr">
        <is>
          <t>Trésorerie</t>
        </is>
      </c>
      <c r="C524" s="35">
        <f>E457</f>
        <v/>
      </c>
      <c r="E524" s="35">
        <f>C524+D492+D494+D500+D511+D515</f>
        <v/>
      </c>
    </row>
    <row r="525" ht="15" customHeight="1" s="24">
      <c r="A525" s="36" t="inlineStr">
        <is>
          <t>TOTAL ACTIF</t>
        </is>
      </c>
      <c r="C525" s="37">
        <f>SUM(C521:C524)</f>
        <v/>
      </c>
      <c r="E525" s="37">
        <f>SUM(E521:E524)</f>
        <v/>
      </c>
    </row>
    <row r="528" ht="15" customHeight="1" s="24">
      <c r="A528" s="33" t="inlineStr">
        <is>
          <t>Capitaux propres</t>
        </is>
      </c>
      <c r="C528" s="38">
        <f>E461</f>
        <v/>
      </c>
      <c r="E528" s="38">
        <f>C528</f>
        <v/>
      </c>
    </row>
    <row r="529" ht="15" customHeight="1" s="24">
      <c r="A529" s="29" t="inlineStr">
        <is>
          <t>Emprunts</t>
        </is>
      </c>
      <c r="C529" s="39">
        <f>E462</f>
        <v/>
      </c>
      <c r="E529" s="39">
        <f>C529+$D$484+D494</f>
        <v/>
      </c>
    </row>
    <row r="530" ht="15" customHeight="1" s="24">
      <c r="A530" s="29" t="inlineStr">
        <is>
          <t>Dettes fournisseurs</t>
        </is>
      </c>
      <c r="C530" s="39">
        <f>E463</f>
        <v/>
      </c>
      <c r="E530" s="39">
        <f>C530</f>
        <v/>
      </c>
    </row>
    <row r="531" ht="15" customHeight="1" s="24">
      <c r="A531" s="29" t="inlineStr">
        <is>
          <t>Découvert</t>
        </is>
      </c>
      <c r="C531" s="39">
        <f>E464</f>
        <v/>
      </c>
      <c r="E531" s="39">
        <f>C531+D495</f>
        <v/>
      </c>
    </row>
    <row r="532" ht="15" customHeight="1" s="24">
      <c r="A532" s="29" t="inlineStr">
        <is>
          <t>Résultat</t>
        </is>
      </c>
      <c r="C532" s="39">
        <f>E465</f>
        <v/>
      </c>
      <c r="E532" s="39">
        <f>E525-(E528+E529+E530+E531)</f>
        <v/>
      </c>
    </row>
    <row r="533" ht="15" customHeight="1" s="24">
      <c r="A533" s="36" t="inlineStr">
        <is>
          <t>TOTAL PASSIF</t>
        </is>
      </c>
      <c r="C533" s="37">
        <f>SUM(C528:C532)</f>
        <v/>
      </c>
      <c r="E533" s="37">
        <f>SUM(E528:E532)</f>
        <v/>
      </c>
    </row>
    <row r="534" ht="15" customHeight="1" s="24">
      <c r="A534" s="23" t="inlineStr">
        <is>
          <t>Équilibre (APRÈS)</t>
        </is>
      </c>
      <c r="C534" s="40">
        <f>E525-E533</f>
        <v/>
      </c>
    </row>
    <row r="535" ht="15" customHeight="1" s="24">
      <c r="A535" s="27" t="inlineStr">
        <is>
          <t>📈 COMPTE DE RÉSULTAT — TRIMESTRE 8</t>
        </is>
      </c>
    </row>
    <row r="536" ht="15" customHeight="1" s="24">
      <c r="A536" s="41" t="inlineStr">
        <is>
          <t>POSTE</t>
        </is>
      </c>
      <c r="B536" s="41" t="inlineStr">
        <is>
          <t>±</t>
        </is>
      </c>
      <c r="D536" s="41" t="inlineStr">
        <is>
          <t>MONTANT</t>
        </is>
      </c>
      <c r="F536" s="41" t="inlineStr">
        <is>
          <t>NOTE</t>
        </is>
      </c>
    </row>
    <row r="537" ht="15" customHeight="1" s="24">
      <c r="A537" s="42" t="inlineStr">
        <is>
          <t>CA ventes</t>
        </is>
      </c>
      <c r="B537" s="42" t="inlineStr">
        <is>
          <t>(+)</t>
        </is>
      </c>
      <c r="D537" s="43">
        <f>D506</f>
        <v/>
      </c>
      <c r="F537" s="42" t="inlineStr">
        <is>
          <t>Unités × 2 000 €/u</t>
        </is>
      </c>
    </row>
    <row r="538" ht="15" customHeight="1" s="24">
      <c r="A538" s="42" t="inlineStr">
        <is>
          <t>Produits except.</t>
        </is>
      </c>
      <c r="B538" s="42" t="inlineStr">
        <is>
          <t>(+)</t>
        </is>
      </c>
      <c r="D538" s="43">
        <f>IFERROR(VLOOKUP($D$488,Données!$A$2:$V$38,14,0),0)+IFERROR(VLOOKUP($D$489,Données!$B$45:$L$57,8,0),0)+IFERROR(VLOOKUP($D$488,Données!$A$2:$V$38,15,0),0)+IFERROR(VLOOKUP($D$489,Données!$B$45:$L$57,9,0),0)</f>
        <v/>
      </c>
      <c r="F538" s="42" t="inlineStr">
        <is>
          <t>Subvention, remb. assurance</t>
        </is>
      </c>
    </row>
    <row r="539" ht="15" customHeight="1" s="24">
      <c r="A539" s="36" t="inlineStr">
        <is>
          <t>TOTAL PRODUITS</t>
        </is>
      </c>
      <c r="B539" s="36" t="inlineStr">
        <is>
          <t>Σ</t>
        </is>
      </c>
      <c r="D539" s="37">
        <f>D537+D538</f>
        <v/>
      </c>
    </row>
    <row r="540" ht="15" customHeight="1" s="24">
      <c r="A540" s="44" t="inlineStr">
        <is>
          <t>CMV</t>
        </is>
      </c>
      <c r="B540" s="44" t="inlineStr">
        <is>
          <t>(−)</t>
        </is>
      </c>
      <c r="D540" s="39">
        <f>D507</f>
        <v/>
      </c>
      <c r="F540" s="44" t="inlineStr">
        <is>
          <t>Stocks à valeur d'achat</t>
        </is>
      </c>
    </row>
    <row r="541" ht="15" customHeight="1" s="24">
      <c r="A541" s="44" t="inlineStr">
        <is>
          <t>Ch. personnel</t>
        </is>
      </c>
      <c r="B541" s="44" t="inlineStr">
        <is>
          <t>(−)</t>
        </is>
      </c>
      <c r="D541" s="39">
        <f>IFERROR(VLOOKUP($D$487,Données!$A$2:$V$38,9,0),0)+IFERROR(VLOOKUP($D$488,Données!$A$2:$V$38,9,0),0)</f>
        <v/>
      </c>
      <c r="F541" s="44" t="inlineStr">
        <is>
          <t>Salaires commerciaux</t>
        </is>
      </c>
    </row>
    <row r="542" ht="15" customHeight="1" s="24">
      <c r="A542" s="44" t="inlineStr">
        <is>
          <t>Ch. fixes &amp; serv.</t>
        </is>
      </c>
      <c r="B542" s="44" t="inlineStr">
        <is>
          <t>(−)</t>
        </is>
      </c>
      <c r="D542" s="39">
        <f>-2000+IFERROR(VLOOKUP($D$488,Données!$A$2:$V$38,10,0),0)+IFERROR(VLOOKUP($D$489,Données!$B$45:$L$57,3,0),0)</f>
        <v/>
      </c>
      <c r="F542" s="44" t="inlineStr">
        <is>
          <t>Loyer -2000 + cartes</t>
        </is>
      </c>
    </row>
    <row r="543" ht="15" customHeight="1" s="24">
      <c r="A543" s="44" t="inlineStr">
        <is>
          <t>Dotations amort.</t>
        </is>
      </c>
      <c r="B543" s="44" t="inlineStr">
        <is>
          <t>(−)</t>
        </is>
      </c>
      <c r="D543" s="39">
        <f>D493</f>
        <v/>
      </c>
      <c r="F543" s="44" t="inlineStr">
        <is>
          <t>Amortissements</t>
        </is>
      </c>
    </row>
    <row r="544" ht="15" customHeight="1" s="24">
      <c r="A544" s="44" t="inlineStr">
        <is>
          <t>Ch. intérêt</t>
        </is>
      </c>
      <c r="B544" s="44" t="inlineStr">
        <is>
          <t>(−)</t>
        </is>
      </c>
      <c r="D544" s="39">
        <f>-D495+IFERROR(VLOOKUP($D$488,Données!$A$2:$V$38,12,0),0)</f>
        <v/>
      </c>
      <c r="F544" s="44" t="inlineStr">
        <is>
          <t>Agios + intérêts emprunt</t>
        </is>
      </c>
    </row>
    <row r="545" ht="15" customHeight="1" s="24">
      <c r="A545" s="36" t="inlineStr">
        <is>
          <t>TOTAL CHARGES</t>
        </is>
      </c>
      <c r="B545" s="36" t="inlineStr">
        <is>
          <t>Σ</t>
        </is>
      </c>
      <c r="D545" s="37">
        <f>SUM(D540:D544)</f>
        <v/>
      </c>
    </row>
    <row r="546" ht="15" customHeight="1" s="24">
      <c r="A546" s="45" t="inlineStr">
        <is>
          <t>RÉSULTAT NET</t>
        </is>
      </c>
      <c r="B546" s="45" t="inlineStr">
        <is>
          <t>=</t>
        </is>
      </c>
      <c r="D546" s="40">
        <f>D539+D545</f>
        <v/>
      </c>
    </row>
    <row r="548" ht="15" customHeight="1" s="24">
      <c r="A548" s="27" t="inlineStr">
        <is>
          <t>TRIMESTRE 9</t>
        </is>
      </c>
    </row>
    <row r="549" ht="15" customHeight="1" s="24">
      <c r="A549" s="28" t="inlineStr">
        <is>
          <t>📋 DÉCISIONS</t>
        </is>
      </c>
    </row>
    <row r="551" ht="15" customHeight="1" s="24">
      <c r="A551" s="29" t="inlineStr">
        <is>
          <t>Emprunt demandé :</t>
        </is>
      </c>
      <c r="D551" s="30" t="n">
        <v>0</v>
      </c>
    </row>
    <row r="552" ht="15" customHeight="1" s="24">
      <c r="A552" s="29" t="inlineStr">
        <is>
          <t>Achat de stock :</t>
        </is>
      </c>
      <c r="D552" s="30" t="n">
        <v>0</v>
      </c>
    </row>
    <row r="553" ht="15" customHeight="1" s="24">
      <c r="A553" s="29" t="inlineStr">
        <is>
          <t>Mode de trésorerie :</t>
        </is>
      </c>
      <c r="D553" s="26" t="inlineStr">
        <is>
          <t>Tréso</t>
        </is>
      </c>
    </row>
    <row r="554" ht="15" customHeight="1" s="24">
      <c r="A554" s="29" t="inlineStr">
        <is>
          <t>Recrutement :</t>
        </is>
      </c>
      <c r="D554" s="26" t="inlineStr">
        <is>
          <t>Aucun</t>
        </is>
      </c>
    </row>
    <row r="555" ht="15" customHeight="1" s="24">
      <c r="A555" s="29" t="inlineStr">
        <is>
          <t>Carte action :</t>
        </is>
      </c>
      <c r="D555" s="26" t="inlineStr">
        <is>
          <t>Aucune</t>
        </is>
      </c>
    </row>
    <row r="556" ht="15" customHeight="1" s="24">
      <c r="A556" s="29" t="inlineStr">
        <is>
          <t>Événement :</t>
        </is>
      </c>
      <c r="D556" s="26" t="inlineStr">
        <is>
          <t>Aucun</t>
        </is>
      </c>
    </row>
    <row r="558" ht="15" customHeight="1" s="24">
      <c r="A558" s="31" t="inlineStr">
        <is>
          <t>⚙️ EFFETS AUTOMATIQUES</t>
        </is>
      </c>
    </row>
    <row r="559" ht="15" customHeight="1" s="24">
      <c r="A559" s="29" t="inlineStr">
        <is>
          <t>Charges courantes</t>
        </is>
      </c>
      <c r="D559" s="32" t="n">
        <v>-2000</v>
      </c>
    </row>
    <row r="560" ht="15" customHeight="1" s="24">
      <c r="A560" s="29" t="inlineStr">
        <is>
          <t>Amortissements</t>
        </is>
      </c>
      <c r="D560" s="32">
        <f>MAX(-VLOOKUP($D$3,Données!$A$65:$J$68,6,0)*1000,-C588)</f>
        <v/>
      </c>
    </row>
    <row r="561" ht="15" customHeight="1" s="24">
      <c r="A561" s="29" t="inlineStr">
        <is>
          <t>Remboursements</t>
        </is>
      </c>
      <c r="D561" s="32">
        <f>IF(C596&gt;0,-1000,0)</f>
        <v/>
      </c>
    </row>
    <row r="562" ht="15" customHeight="1" s="24">
      <c r="A562" s="29" t="inlineStr">
        <is>
          <t>Agios</t>
        </is>
      </c>
      <c r="D562" s="32">
        <f>IF(C598&gt;0,MAX(1000,ROUNDUP(C598*0.10/1000,0)*1000),0)</f>
        <v/>
      </c>
    </row>
    <row r="563" ht="15" customHeight="1" s="24">
      <c r="A563" s="29" t="inlineStr">
        <is>
          <t>Règlement dettes</t>
        </is>
      </c>
      <c r="D563" s="32" t="n">
        <v>0</v>
      </c>
    </row>
    <row r="566" ht="15" customHeight="1" s="24">
      <c r="A566" s="29" t="inlineStr">
        <is>
          <t>Stock acheté</t>
        </is>
      </c>
      <c r="D566" s="32">
        <f>$D$552</f>
        <v/>
      </c>
    </row>
    <row r="567" ht="15" customHeight="1" s="24">
      <c r="A567" s="29" t="inlineStr">
        <is>
          <t>Stock à payer</t>
        </is>
      </c>
      <c r="D567" s="32">
        <f>IF($D$553="Tréso",-$D$552,0)</f>
        <v/>
      </c>
    </row>
    <row r="570" ht="15" customHeight="1" s="24">
      <c r="A570" s="29" t="inlineStr">
        <is>
          <t>Capacité prod.</t>
        </is>
      </c>
      <c r="D570" s="32">
        <f>4+IFERROR(VLOOKUP($D$555,Données!$A$2:$V$38,18,0),0)</f>
        <v/>
      </c>
    </row>
    <row r="571" ht="15" customHeight="1" s="24">
      <c r="A571" s="29" t="inlineStr">
        <is>
          <t>Stocks dispo</t>
        </is>
      </c>
      <c r="D571" s="32">
        <f>C589+D566</f>
        <v/>
      </c>
    </row>
    <row r="572" ht="15" customHeight="1" s="24">
      <c r="A572" s="29" t="inlineStr">
        <is>
          <t>Unités vendues</t>
        </is>
      </c>
      <c r="D572" s="32" t="n">
        <v>0</v>
      </c>
    </row>
    <row r="573" ht="15" customHeight="1" s="24">
      <c r="A573" s="29" t="inlineStr">
        <is>
          <t>CA (Chiffre affaires)</t>
        </is>
      </c>
      <c r="D573" s="32">
        <f>D572*2000</f>
        <v/>
      </c>
    </row>
    <row r="574" ht="15" customHeight="1" s="24">
      <c r="A574" s="29" t="inlineStr">
        <is>
          <t>CMV (Coût matière)</t>
        </is>
      </c>
      <c r="D574" s="32">
        <f>-D572*1000</f>
        <v/>
      </c>
    </row>
    <row r="577" ht="15" customHeight="1" s="24">
      <c r="A577" s="29" t="inlineStr">
        <is>
          <t>Immobilisations</t>
        </is>
      </c>
      <c r="D577" s="32">
        <f>IFERROR(VLOOKUP($D$555,Données!$A$2:$V$38,4,0),0)</f>
        <v/>
      </c>
    </row>
    <row r="578" ht="15" customHeight="1" s="24">
      <c r="A578" s="29" t="inlineStr">
        <is>
          <t>Trésorerie</t>
        </is>
      </c>
      <c r="D578" s="32">
        <f>IFERROR(VLOOKUP($D$555,Données!$A$2:$V$38,5,0),0)</f>
        <v/>
      </c>
    </row>
    <row r="579" ht="15" customHeight="1" s="24">
      <c r="A579" s="29" t="inlineStr">
        <is>
          <t>Stocks</t>
        </is>
      </c>
      <c r="D579" s="32">
        <f>IFERROR(VLOOKUP($D$555,Données!$A$2:$V$38,19,0),0)</f>
        <v/>
      </c>
    </row>
    <row r="582" ht="15" customHeight="1" s="24">
      <c r="A582" s="29" t="inlineStr">
        <is>
          <t>Trésorerie</t>
        </is>
      </c>
      <c r="D582" s="32">
        <f>IFERROR(VLOOKUP($D$554,Données!$A$2:$V$38,5,0),0)</f>
        <v/>
      </c>
    </row>
    <row r="583" ht="15" customHeight="1" s="24">
      <c r="A583" s="29" t="inlineStr">
        <is>
          <t>Stocks</t>
        </is>
      </c>
      <c r="D583" s="32" t="n">
        <v>0</v>
      </c>
    </row>
    <row r="587" ht="15" customHeight="1" s="24">
      <c r="A587" s="27" t="inlineStr">
        <is>
          <t>📊 BILAN</t>
        </is>
      </c>
    </row>
    <row r="588" ht="15" customHeight="1" s="24">
      <c r="A588" s="33" t="inlineStr">
        <is>
          <t>Immobilisations</t>
        </is>
      </c>
      <c r="C588" s="34">
        <f>E521</f>
        <v/>
      </c>
      <c r="E588" s="34">
        <f>MAX(0,C588+D560+D577)</f>
        <v/>
      </c>
    </row>
    <row r="589" ht="15" customHeight="1" s="24">
      <c r="A589" s="29" t="inlineStr">
        <is>
          <t>Stocks</t>
        </is>
      </c>
      <c r="C589" s="35">
        <f>E522</f>
        <v/>
      </c>
      <c r="E589" s="35">
        <f>C589+D566+D579+D583</f>
        <v/>
      </c>
    </row>
    <row r="590" ht="15" customHeight="1" s="24">
      <c r="A590" s="29" t="inlineStr">
        <is>
          <t>Créances clients</t>
        </is>
      </c>
      <c r="C590" s="35">
        <f>E523</f>
        <v/>
      </c>
      <c r="E590" s="35">
        <f>C590+D573</f>
        <v/>
      </c>
    </row>
    <row r="591" ht="15" customHeight="1" s="24">
      <c r="A591" s="29" t="inlineStr">
        <is>
          <t>Trésorerie</t>
        </is>
      </c>
      <c r="C591" s="35">
        <f>E524</f>
        <v/>
      </c>
      <c r="E591" s="35">
        <f>C591+D559+D561+D567+D578+D582</f>
        <v/>
      </c>
    </row>
    <row r="592" ht="15" customHeight="1" s="24">
      <c r="A592" s="36" t="inlineStr">
        <is>
          <t>TOTAL ACTIF</t>
        </is>
      </c>
      <c r="C592" s="37">
        <f>SUM(C588:C591)</f>
        <v/>
      </c>
      <c r="E592" s="37">
        <f>SUM(E588:E591)</f>
        <v/>
      </c>
    </row>
    <row r="595" ht="15" customHeight="1" s="24">
      <c r="A595" s="33" t="inlineStr">
        <is>
          <t>Capitaux propres</t>
        </is>
      </c>
      <c r="C595" s="38">
        <f>E528</f>
        <v/>
      </c>
      <c r="E595" s="38">
        <f>C595</f>
        <v/>
      </c>
    </row>
    <row r="596" ht="15" customHeight="1" s="24">
      <c r="A596" s="29" t="inlineStr">
        <is>
          <t>Emprunts</t>
        </is>
      </c>
      <c r="C596" s="39">
        <f>E529</f>
        <v/>
      </c>
      <c r="E596" s="39">
        <f>C596+$D$551+D561</f>
        <v/>
      </c>
    </row>
    <row r="597" ht="15" customHeight="1" s="24">
      <c r="A597" s="29" t="inlineStr">
        <is>
          <t>Dettes fournisseurs</t>
        </is>
      </c>
      <c r="C597" s="39">
        <f>E530</f>
        <v/>
      </c>
      <c r="E597" s="39">
        <f>C597</f>
        <v/>
      </c>
    </row>
    <row r="598" ht="15" customHeight="1" s="24">
      <c r="A598" s="29" t="inlineStr">
        <is>
          <t>Découvert</t>
        </is>
      </c>
      <c r="C598" s="39">
        <f>E531</f>
        <v/>
      </c>
      <c r="E598" s="39">
        <f>C598+D562</f>
        <v/>
      </c>
    </row>
    <row r="599" ht="15" customHeight="1" s="24">
      <c r="A599" s="29" t="inlineStr">
        <is>
          <t>Résultat</t>
        </is>
      </c>
      <c r="C599" s="39">
        <f>E532</f>
        <v/>
      </c>
      <c r="E599" s="39">
        <f>E592-(E595+E596+E597+E598)</f>
        <v/>
      </c>
    </row>
    <row r="600" ht="15" customHeight="1" s="24">
      <c r="A600" s="36" t="inlineStr">
        <is>
          <t>TOTAL PASSIF</t>
        </is>
      </c>
      <c r="C600" s="37">
        <f>SUM(C595:C599)</f>
        <v/>
      </c>
      <c r="E600" s="37">
        <f>SUM(E595:E599)</f>
        <v/>
      </c>
    </row>
    <row r="601" ht="15" customHeight="1" s="24">
      <c r="A601" s="23" t="inlineStr">
        <is>
          <t>Équilibre (APRÈS)</t>
        </is>
      </c>
      <c r="C601" s="40">
        <f>E592-E600</f>
        <v/>
      </c>
    </row>
    <row r="602" ht="15" customHeight="1" s="24">
      <c r="A602" s="27" t="inlineStr">
        <is>
          <t>📈 COMPTE DE RÉSULTAT — TRIMESTRE 9</t>
        </is>
      </c>
    </row>
    <row r="603" ht="15" customHeight="1" s="24">
      <c r="A603" s="41" t="inlineStr">
        <is>
          <t>POSTE</t>
        </is>
      </c>
      <c r="B603" s="41" t="inlineStr">
        <is>
          <t>±</t>
        </is>
      </c>
      <c r="D603" s="41" t="inlineStr">
        <is>
          <t>MONTANT</t>
        </is>
      </c>
      <c r="F603" s="41" t="inlineStr">
        <is>
          <t>NOTE</t>
        </is>
      </c>
    </row>
    <row r="604" ht="15" customHeight="1" s="24">
      <c r="A604" s="42" t="inlineStr">
        <is>
          <t>CA ventes</t>
        </is>
      </c>
      <c r="B604" s="42" t="inlineStr">
        <is>
          <t>(+)</t>
        </is>
      </c>
      <c r="D604" s="43">
        <f>D573</f>
        <v/>
      </c>
      <c r="F604" s="42" t="inlineStr">
        <is>
          <t>Unités × 2 000 €/u</t>
        </is>
      </c>
    </row>
    <row r="605" ht="15" customHeight="1" s="24">
      <c r="A605" s="42" t="inlineStr">
        <is>
          <t>Produits except.</t>
        </is>
      </c>
      <c r="B605" s="42" t="inlineStr">
        <is>
          <t>(+)</t>
        </is>
      </c>
      <c r="D605" s="43">
        <f>IFERROR(VLOOKUP($D$555,Données!$A$2:$V$38,14,0),0)+IFERROR(VLOOKUP($D$556,Données!$B$45:$L$57,8,0),0)+IFERROR(VLOOKUP($D$555,Données!$A$2:$V$38,15,0),0)+IFERROR(VLOOKUP($D$556,Données!$B$45:$L$57,9,0),0)</f>
        <v/>
      </c>
      <c r="F605" s="42" t="inlineStr">
        <is>
          <t>Subvention, remb. assurance</t>
        </is>
      </c>
    </row>
    <row r="606" ht="15" customHeight="1" s="24">
      <c r="A606" s="36" t="inlineStr">
        <is>
          <t>TOTAL PRODUITS</t>
        </is>
      </c>
      <c r="B606" s="36" t="inlineStr">
        <is>
          <t>Σ</t>
        </is>
      </c>
      <c r="D606" s="37">
        <f>D604+D605</f>
        <v/>
      </c>
    </row>
    <row r="607" ht="15" customHeight="1" s="24">
      <c r="A607" s="44" t="inlineStr">
        <is>
          <t>CMV</t>
        </is>
      </c>
      <c r="B607" s="44" t="inlineStr">
        <is>
          <t>(−)</t>
        </is>
      </c>
      <c r="D607" s="39">
        <f>D574</f>
        <v/>
      </c>
      <c r="F607" s="44" t="inlineStr">
        <is>
          <t>Stocks à valeur d'achat</t>
        </is>
      </c>
    </row>
    <row r="608" ht="15" customHeight="1" s="24">
      <c r="A608" s="44" t="inlineStr">
        <is>
          <t>Ch. personnel</t>
        </is>
      </c>
      <c r="B608" s="44" t="inlineStr">
        <is>
          <t>(−)</t>
        </is>
      </c>
      <c r="D608" s="39">
        <f>IFERROR(VLOOKUP($D$554,Données!$A$2:$V$38,9,0),0)+IFERROR(VLOOKUP($D$555,Données!$A$2:$V$38,9,0),0)</f>
        <v/>
      </c>
      <c r="F608" s="44" t="inlineStr">
        <is>
          <t>Salaires commerciaux</t>
        </is>
      </c>
    </row>
    <row r="609" ht="15" customHeight="1" s="24">
      <c r="A609" s="44" t="inlineStr">
        <is>
          <t>Ch. fixes &amp; serv.</t>
        </is>
      </c>
      <c r="B609" s="44" t="inlineStr">
        <is>
          <t>(−)</t>
        </is>
      </c>
      <c r="D609" s="39">
        <f>-2000+IFERROR(VLOOKUP($D$555,Données!$A$2:$V$38,10,0),0)+IFERROR(VLOOKUP($D$556,Données!$B$45:$L$57,3,0),0)</f>
        <v/>
      </c>
      <c r="F609" s="44" t="inlineStr">
        <is>
          <t>Loyer -2000 + cartes</t>
        </is>
      </c>
    </row>
    <row r="610" ht="15" customHeight="1" s="24">
      <c r="A610" s="44" t="inlineStr">
        <is>
          <t>Dotations amort.</t>
        </is>
      </c>
      <c r="B610" s="44" t="inlineStr">
        <is>
          <t>(−)</t>
        </is>
      </c>
      <c r="D610" s="39">
        <f>D560</f>
        <v/>
      </c>
      <c r="F610" s="44" t="inlineStr">
        <is>
          <t>Amortissements</t>
        </is>
      </c>
    </row>
    <row r="611" ht="15" customHeight="1" s="24">
      <c r="A611" s="44" t="inlineStr">
        <is>
          <t>Ch. intérêt</t>
        </is>
      </c>
      <c r="B611" s="44" t="inlineStr">
        <is>
          <t>(−)</t>
        </is>
      </c>
      <c r="D611" s="39">
        <f>-D562+IFERROR(VLOOKUP($D$555,Données!$A$2:$V$38,12,0),0)</f>
        <v/>
      </c>
      <c r="F611" s="44" t="inlineStr">
        <is>
          <t>Agios + intérêts emprunt</t>
        </is>
      </c>
    </row>
    <row r="612" ht="15" customHeight="1" s="24">
      <c r="A612" s="36" t="inlineStr">
        <is>
          <t>TOTAL CHARGES</t>
        </is>
      </c>
      <c r="B612" s="36" t="inlineStr">
        <is>
          <t>Σ</t>
        </is>
      </c>
      <c r="D612" s="37">
        <f>SUM(D607:D611)</f>
        <v/>
      </c>
    </row>
    <row r="613" ht="15" customHeight="1" s="24">
      <c r="A613" s="45" t="inlineStr">
        <is>
          <t>RÉSULTAT NET</t>
        </is>
      </c>
      <c r="B613" s="45" t="inlineStr">
        <is>
          <t>=</t>
        </is>
      </c>
      <c r="D613" s="40">
        <f>D606+D612</f>
        <v/>
      </c>
    </row>
    <row r="615" ht="15" customHeight="1" s="24">
      <c r="A615" s="27" t="inlineStr">
        <is>
          <t>TRIMESTRE 10</t>
        </is>
      </c>
    </row>
    <row r="616" ht="15" customHeight="1" s="24">
      <c r="A616" s="28" t="inlineStr">
        <is>
          <t>📋 DÉCISIONS</t>
        </is>
      </c>
    </row>
    <row r="618" ht="15" customHeight="1" s="24">
      <c r="A618" s="29" t="inlineStr">
        <is>
          <t>Emprunt demandé :</t>
        </is>
      </c>
      <c r="D618" s="30" t="n">
        <v>0</v>
      </c>
    </row>
    <row r="619" ht="15" customHeight="1" s="24">
      <c r="A619" s="29" t="inlineStr">
        <is>
          <t>Achat de stock :</t>
        </is>
      </c>
      <c r="D619" s="30" t="n">
        <v>0</v>
      </c>
    </row>
    <row r="620" ht="15" customHeight="1" s="24">
      <c r="A620" s="29" t="inlineStr">
        <is>
          <t>Mode de trésorerie :</t>
        </is>
      </c>
      <c r="D620" s="26" t="inlineStr">
        <is>
          <t>Tréso</t>
        </is>
      </c>
    </row>
    <row r="621" ht="15" customHeight="1" s="24">
      <c r="A621" s="29" t="inlineStr">
        <is>
          <t>Recrutement :</t>
        </is>
      </c>
      <c r="D621" s="26" t="inlineStr">
        <is>
          <t>Aucun</t>
        </is>
      </c>
    </row>
    <row r="622" ht="15" customHeight="1" s="24">
      <c r="A622" s="29" t="inlineStr">
        <is>
          <t>Carte action :</t>
        </is>
      </c>
      <c r="D622" s="26" t="inlineStr">
        <is>
          <t>Aucune</t>
        </is>
      </c>
    </row>
    <row r="623" ht="15" customHeight="1" s="24">
      <c r="A623" s="29" t="inlineStr">
        <is>
          <t>Événement :</t>
        </is>
      </c>
      <c r="D623" s="26" t="inlineStr">
        <is>
          <t>Aucun</t>
        </is>
      </c>
    </row>
    <row r="625" ht="15" customHeight="1" s="24">
      <c r="A625" s="31" t="inlineStr">
        <is>
          <t>⚙️ EFFETS AUTOMATIQUES</t>
        </is>
      </c>
    </row>
    <row r="626" ht="15" customHeight="1" s="24">
      <c r="A626" s="29" t="inlineStr">
        <is>
          <t>Charges courantes</t>
        </is>
      </c>
      <c r="D626" s="32" t="n">
        <v>-2000</v>
      </c>
    </row>
    <row r="627" ht="15" customHeight="1" s="24">
      <c r="A627" s="29" t="inlineStr">
        <is>
          <t>Amortissements</t>
        </is>
      </c>
      <c r="D627" s="32">
        <f>MAX(-VLOOKUP($D$3,Données!$A$65:$J$68,6,0)*1000,-C655)</f>
        <v/>
      </c>
    </row>
    <row r="628" ht="15" customHeight="1" s="24">
      <c r="A628" s="29" t="inlineStr">
        <is>
          <t>Remboursements</t>
        </is>
      </c>
      <c r="D628" s="32">
        <f>IF(C663&gt;0,-1000,0)</f>
        <v/>
      </c>
    </row>
    <row r="629" ht="15" customHeight="1" s="24">
      <c r="A629" s="29" t="inlineStr">
        <is>
          <t>Agios</t>
        </is>
      </c>
      <c r="D629" s="32">
        <f>IF(C665&gt;0,MAX(1000,ROUNDUP(C665*0.10/1000,0)*1000),0)</f>
        <v/>
      </c>
    </row>
    <row r="630" ht="15" customHeight="1" s="24">
      <c r="A630" s="29" t="inlineStr">
        <is>
          <t>Règlement dettes</t>
        </is>
      </c>
      <c r="D630" s="32" t="n">
        <v>0</v>
      </c>
    </row>
    <row r="633" ht="15" customHeight="1" s="24">
      <c r="A633" s="29" t="inlineStr">
        <is>
          <t>Stock acheté</t>
        </is>
      </c>
      <c r="D633" s="32">
        <f>$D$619</f>
        <v/>
      </c>
    </row>
    <row r="634" ht="15" customHeight="1" s="24">
      <c r="A634" s="29" t="inlineStr">
        <is>
          <t>Stock à payer</t>
        </is>
      </c>
      <c r="D634" s="32">
        <f>IF($D$620="Tréso",-$D$619,0)</f>
        <v/>
      </c>
    </row>
    <row r="637" ht="15" customHeight="1" s="24">
      <c r="A637" s="29" t="inlineStr">
        <is>
          <t>Capacité prod.</t>
        </is>
      </c>
      <c r="D637" s="32">
        <f>4+IFERROR(VLOOKUP($D$622,Données!$A$2:$V$38,18,0),0)</f>
        <v/>
      </c>
    </row>
    <row r="638" ht="15" customHeight="1" s="24">
      <c r="A638" s="29" t="inlineStr">
        <is>
          <t>Stocks dispo</t>
        </is>
      </c>
      <c r="D638" s="32">
        <f>C656+D633</f>
        <v/>
      </c>
    </row>
    <row r="639" ht="15" customHeight="1" s="24">
      <c r="A639" s="29" t="inlineStr">
        <is>
          <t>Unités vendues</t>
        </is>
      </c>
      <c r="D639" s="32" t="n">
        <v>0</v>
      </c>
    </row>
    <row r="640" ht="15" customHeight="1" s="24">
      <c r="A640" s="29" t="inlineStr">
        <is>
          <t>CA (Chiffre affaires)</t>
        </is>
      </c>
      <c r="D640" s="32">
        <f>D639*2000</f>
        <v/>
      </c>
    </row>
    <row r="641" ht="15" customHeight="1" s="24">
      <c r="A641" s="29" t="inlineStr">
        <is>
          <t>CMV (Coût matière)</t>
        </is>
      </c>
      <c r="D641" s="32">
        <f>-D639*1000</f>
        <v/>
      </c>
    </row>
    <row r="644" ht="15" customHeight="1" s="24">
      <c r="A644" s="29" t="inlineStr">
        <is>
          <t>Immobilisations</t>
        </is>
      </c>
      <c r="D644" s="32">
        <f>IFERROR(VLOOKUP($D$622,Données!$A$2:$V$38,4,0),0)</f>
        <v/>
      </c>
    </row>
    <row r="645" ht="15" customHeight="1" s="24">
      <c r="A645" s="29" t="inlineStr">
        <is>
          <t>Trésorerie</t>
        </is>
      </c>
      <c r="D645" s="32">
        <f>IFERROR(VLOOKUP($D$622,Données!$A$2:$V$38,5,0),0)</f>
        <v/>
      </c>
    </row>
    <row r="646" ht="15" customHeight="1" s="24">
      <c r="A646" s="29" t="inlineStr">
        <is>
          <t>Stocks</t>
        </is>
      </c>
      <c r="D646" s="32">
        <f>IFERROR(VLOOKUP($D$622,Données!$A$2:$V$38,19,0),0)</f>
        <v/>
      </c>
    </row>
    <row r="649" ht="15" customHeight="1" s="24">
      <c r="A649" s="29" t="inlineStr">
        <is>
          <t>Trésorerie</t>
        </is>
      </c>
      <c r="D649" s="32">
        <f>IFERROR(VLOOKUP($D$621,Données!$A$2:$V$38,5,0),0)</f>
        <v/>
      </c>
    </row>
    <row r="650" ht="15" customHeight="1" s="24">
      <c r="A650" s="29" t="inlineStr">
        <is>
          <t>Stocks</t>
        </is>
      </c>
      <c r="D650" s="32" t="n">
        <v>0</v>
      </c>
    </row>
    <row r="654" ht="15" customHeight="1" s="24">
      <c r="A654" s="27" t="inlineStr">
        <is>
          <t>📊 BILAN</t>
        </is>
      </c>
    </row>
    <row r="655" ht="15" customHeight="1" s="24">
      <c r="A655" s="33" t="inlineStr">
        <is>
          <t>Immobilisations</t>
        </is>
      </c>
      <c r="C655" s="34">
        <f>E588</f>
        <v/>
      </c>
      <c r="E655" s="34">
        <f>MAX(0,C655+D627+D644)</f>
        <v/>
      </c>
    </row>
    <row r="656" ht="15" customHeight="1" s="24">
      <c r="A656" s="29" t="inlineStr">
        <is>
          <t>Stocks</t>
        </is>
      </c>
      <c r="C656" s="35">
        <f>E589</f>
        <v/>
      </c>
      <c r="E656" s="35">
        <f>C656+D633+D646+D650</f>
        <v/>
      </c>
    </row>
    <row r="657" ht="15" customHeight="1" s="24">
      <c r="A657" s="29" t="inlineStr">
        <is>
          <t>Créances clients</t>
        </is>
      </c>
      <c r="C657" s="35">
        <f>E590</f>
        <v/>
      </c>
      <c r="E657" s="35">
        <f>C657+D640</f>
        <v/>
      </c>
    </row>
    <row r="658" ht="15" customHeight="1" s="24">
      <c r="A658" s="29" t="inlineStr">
        <is>
          <t>Trésorerie</t>
        </is>
      </c>
      <c r="C658" s="35">
        <f>E591</f>
        <v/>
      </c>
      <c r="E658" s="35">
        <f>C658+D626+D628+D634+D645+D649</f>
        <v/>
      </c>
    </row>
    <row r="659" ht="15" customHeight="1" s="24">
      <c r="A659" s="36" t="inlineStr">
        <is>
          <t>TOTAL ACTIF</t>
        </is>
      </c>
      <c r="C659" s="37">
        <f>SUM(C655:C658)</f>
        <v/>
      </c>
      <c r="E659" s="37">
        <f>SUM(E655:E658)</f>
        <v/>
      </c>
    </row>
    <row r="662" ht="15" customHeight="1" s="24">
      <c r="A662" s="33" t="inlineStr">
        <is>
          <t>Capitaux propres</t>
        </is>
      </c>
      <c r="C662" s="38">
        <f>E595</f>
        <v/>
      </c>
      <c r="E662" s="38">
        <f>C662</f>
        <v/>
      </c>
    </row>
    <row r="663" ht="15" customHeight="1" s="24">
      <c r="A663" s="29" t="inlineStr">
        <is>
          <t>Emprunts</t>
        </is>
      </c>
      <c r="C663" s="39">
        <f>E596</f>
        <v/>
      </c>
      <c r="E663" s="39">
        <f>C663+$D$618+D628</f>
        <v/>
      </c>
    </row>
    <row r="664" ht="15" customHeight="1" s="24">
      <c r="A664" s="29" t="inlineStr">
        <is>
          <t>Dettes fournisseurs</t>
        </is>
      </c>
      <c r="C664" s="39">
        <f>E597</f>
        <v/>
      </c>
      <c r="E664" s="39">
        <f>C664</f>
        <v/>
      </c>
    </row>
    <row r="665" ht="15" customHeight="1" s="24">
      <c r="A665" s="29" t="inlineStr">
        <is>
          <t>Découvert</t>
        </is>
      </c>
      <c r="C665" s="39">
        <f>E598</f>
        <v/>
      </c>
      <c r="E665" s="39">
        <f>C665+D629</f>
        <v/>
      </c>
    </row>
    <row r="666" ht="15" customHeight="1" s="24">
      <c r="A666" s="29" t="inlineStr">
        <is>
          <t>Résultat</t>
        </is>
      </c>
      <c r="C666" s="39">
        <f>E599</f>
        <v/>
      </c>
      <c r="E666" s="39">
        <f>E659-(E662+E663+E664+E665)</f>
        <v/>
      </c>
    </row>
    <row r="667" ht="15" customHeight="1" s="24">
      <c r="A667" s="36" t="inlineStr">
        <is>
          <t>TOTAL PASSIF</t>
        </is>
      </c>
      <c r="C667" s="37">
        <f>SUM(C662:C666)</f>
        <v/>
      </c>
      <c r="E667" s="37">
        <f>SUM(E662:E666)</f>
        <v/>
      </c>
    </row>
    <row r="668" ht="15" customHeight="1" s="24">
      <c r="A668" s="23" t="inlineStr">
        <is>
          <t>Équilibre (APRÈS)</t>
        </is>
      </c>
      <c r="C668" s="40">
        <f>E659-E667</f>
        <v/>
      </c>
    </row>
    <row r="669" ht="15" customHeight="1" s="24">
      <c r="A669" s="27" t="inlineStr">
        <is>
          <t>📈 COMPTE DE RÉSULTAT — TRIMESTRE 10</t>
        </is>
      </c>
    </row>
    <row r="670" ht="15" customHeight="1" s="24">
      <c r="A670" s="41" t="inlineStr">
        <is>
          <t>POSTE</t>
        </is>
      </c>
      <c r="B670" s="41" t="inlineStr">
        <is>
          <t>±</t>
        </is>
      </c>
      <c r="D670" s="41" t="inlineStr">
        <is>
          <t>MONTANT</t>
        </is>
      </c>
      <c r="F670" s="41" t="inlineStr">
        <is>
          <t>NOTE</t>
        </is>
      </c>
    </row>
    <row r="671" ht="15" customHeight="1" s="24">
      <c r="A671" s="42" t="inlineStr">
        <is>
          <t>CA ventes</t>
        </is>
      </c>
      <c r="B671" s="42" t="inlineStr">
        <is>
          <t>(+)</t>
        </is>
      </c>
      <c r="D671" s="43">
        <f>D640</f>
        <v/>
      </c>
      <c r="F671" s="42" t="inlineStr">
        <is>
          <t>Unités × 2 000 €/u</t>
        </is>
      </c>
    </row>
    <row r="672" ht="15" customHeight="1" s="24">
      <c r="A672" s="42" t="inlineStr">
        <is>
          <t>Produits except.</t>
        </is>
      </c>
      <c r="B672" s="42" t="inlineStr">
        <is>
          <t>(+)</t>
        </is>
      </c>
      <c r="D672" s="43">
        <f>IFERROR(VLOOKUP($D$622,Données!$A$2:$V$38,14,0),0)+IFERROR(VLOOKUP($D$623,Données!$B$45:$L$57,8,0),0)+IFERROR(VLOOKUP($D$622,Données!$A$2:$V$38,15,0),0)+IFERROR(VLOOKUP($D$623,Données!$B$45:$L$57,9,0),0)</f>
        <v/>
      </c>
      <c r="F672" s="42" t="inlineStr">
        <is>
          <t>Subvention, remb. assurance</t>
        </is>
      </c>
    </row>
    <row r="673" ht="15" customHeight="1" s="24">
      <c r="A673" s="36" t="inlineStr">
        <is>
          <t>TOTAL PRODUITS</t>
        </is>
      </c>
      <c r="B673" s="36" t="inlineStr">
        <is>
          <t>Σ</t>
        </is>
      </c>
      <c r="D673" s="37">
        <f>D671+D672</f>
        <v/>
      </c>
    </row>
    <row r="674" ht="15" customHeight="1" s="24">
      <c r="A674" s="44" t="inlineStr">
        <is>
          <t>CMV</t>
        </is>
      </c>
      <c r="B674" s="44" t="inlineStr">
        <is>
          <t>(−)</t>
        </is>
      </c>
      <c r="D674" s="39">
        <f>D641</f>
        <v/>
      </c>
      <c r="F674" s="44" t="inlineStr">
        <is>
          <t>Stocks à valeur d'achat</t>
        </is>
      </c>
    </row>
    <row r="675" ht="15" customHeight="1" s="24">
      <c r="A675" s="44" t="inlineStr">
        <is>
          <t>Ch. personnel</t>
        </is>
      </c>
      <c r="B675" s="44" t="inlineStr">
        <is>
          <t>(−)</t>
        </is>
      </c>
      <c r="D675" s="39">
        <f>IFERROR(VLOOKUP($D$621,Données!$A$2:$V$38,9,0),0)+IFERROR(VLOOKUP($D$622,Données!$A$2:$V$38,9,0),0)</f>
        <v/>
      </c>
      <c r="F675" s="44" t="inlineStr">
        <is>
          <t>Salaires commerciaux</t>
        </is>
      </c>
    </row>
    <row r="676" ht="15" customHeight="1" s="24">
      <c r="A676" s="44" t="inlineStr">
        <is>
          <t>Ch. fixes &amp; serv.</t>
        </is>
      </c>
      <c r="B676" s="44" t="inlineStr">
        <is>
          <t>(−)</t>
        </is>
      </c>
      <c r="D676" s="39">
        <f>-2000+IFERROR(VLOOKUP($D$622,Données!$A$2:$V$38,10,0),0)+IFERROR(VLOOKUP($D$623,Données!$B$45:$L$57,3,0),0)</f>
        <v/>
      </c>
      <c r="F676" s="44" t="inlineStr">
        <is>
          <t>Loyer -2000 + cartes</t>
        </is>
      </c>
    </row>
    <row r="677" ht="15" customHeight="1" s="24">
      <c r="A677" s="44" t="inlineStr">
        <is>
          <t>Dotations amort.</t>
        </is>
      </c>
      <c r="B677" s="44" t="inlineStr">
        <is>
          <t>(−)</t>
        </is>
      </c>
      <c r="D677" s="39">
        <f>D627</f>
        <v/>
      </c>
      <c r="F677" s="44" t="inlineStr">
        <is>
          <t>Amortissements</t>
        </is>
      </c>
    </row>
    <row r="678" ht="15" customHeight="1" s="24">
      <c r="A678" s="44" t="inlineStr">
        <is>
          <t>Ch. intérêt</t>
        </is>
      </c>
      <c r="B678" s="44" t="inlineStr">
        <is>
          <t>(−)</t>
        </is>
      </c>
      <c r="D678" s="39">
        <f>-D629+IFERROR(VLOOKUP($D$622,Données!$A$2:$V$38,12,0),0)</f>
        <v/>
      </c>
      <c r="F678" s="44" t="inlineStr">
        <is>
          <t>Agios + intérêts emprunt</t>
        </is>
      </c>
    </row>
    <row r="679" ht="15" customHeight="1" s="24">
      <c r="A679" s="36" t="inlineStr">
        <is>
          <t>TOTAL CHARGES</t>
        </is>
      </c>
      <c r="B679" s="36" t="inlineStr">
        <is>
          <t>Σ</t>
        </is>
      </c>
      <c r="D679" s="37">
        <f>SUM(D674:D678)</f>
        <v/>
      </c>
    </row>
    <row r="680" ht="15" customHeight="1" s="24">
      <c r="A680" s="45" t="inlineStr">
        <is>
          <t>RÉSULTAT NET</t>
        </is>
      </c>
      <c r="B680" s="45" t="inlineStr">
        <is>
          <t>=</t>
        </is>
      </c>
      <c r="D680" s="40">
        <f>D673+D679</f>
        <v/>
      </c>
    </row>
    <row r="682" ht="15" customHeight="1" s="24">
      <c r="A682" s="27" t="inlineStr">
        <is>
          <t>TRIMESTRE 11</t>
        </is>
      </c>
    </row>
    <row r="683" ht="15" customHeight="1" s="24">
      <c r="A683" s="28" t="inlineStr">
        <is>
          <t>📋 DÉCISIONS</t>
        </is>
      </c>
    </row>
    <row r="685" ht="15" customHeight="1" s="24">
      <c r="A685" s="29" t="inlineStr">
        <is>
          <t>Emprunt demandé :</t>
        </is>
      </c>
      <c r="D685" s="30" t="n">
        <v>0</v>
      </c>
    </row>
    <row r="686" ht="15" customHeight="1" s="24">
      <c r="A686" s="29" t="inlineStr">
        <is>
          <t>Achat de stock :</t>
        </is>
      </c>
      <c r="D686" s="30" t="n">
        <v>0</v>
      </c>
    </row>
    <row r="687" ht="15" customHeight="1" s="24">
      <c r="A687" s="29" t="inlineStr">
        <is>
          <t>Mode de trésorerie :</t>
        </is>
      </c>
      <c r="D687" s="26" t="inlineStr">
        <is>
          <t>Tréso</t>
        </is>
      </c>
    </row>
    <row r="688" ht="15" customHeight="1" s="24">
      <c r="A688" s="29" t="inlineStr">
        <is>
          <t>Recrutement :</t>
        </is>
      </c>
      <c r="D688" s="26" t="inlineStr">
        <is>
          <t>Aucun</t>
        </is>
      </c>
    </row>
    <row r="689" ht="15" customHeight="1" s="24">
      <c r="A689" s="29" t="inlineStr">
        <is>
          <t>Carte action :</t>
        </is>
      </c>
      <c r="D689" s="26" t="inlineStr">
        <is>
          <t>Aucune</t>
        </is>
      </c>
    </row>
    <row r="690" ht="15" customHeight="1" s="24">
      <c r="A690" s="29" t="inlineStr">
        <is>
          <t>Événement :</t>
        </is>
      </c>
      <c r="D690" s="26" t="inlineStr">
        <is>
          <t>Aucun</t>
        </is>
      </c>
    </row>
    <row r="692" ht="15" customHeight="1" s="24">
      <c r="A692" s="31" t="inlineStr">
        <is>
          <t>⚙️ EFFETS AUTOMATIQUES</t>
        </is>
      </c>
    </row>
    <row r="693" ht="15" customHeight="1" s="24">
      <c r="A693" s="29" t="inlineStr">
        <is>
          <t>Charges courantes</t>
        </is>
      </c>
      <c r="D693" s="32" t="n">
        <v>-2000</v>
      </c>
    </row>
    <row r="694" ht="15" customHeight="1" s="24">
      <c r="A694" s="29" t="inlineStr">
        <is>
          <t>Amortissements</t>
        </is>
      </c>
      <c r="D694" s="32">
        <f>MAX(-VLOOKUP($D$3,Données!$A$65:$J$68,6,0)*1000,-C722)</f>
        <v/>
      </c>
    </row>
    <row r="695" ht="15" customHeight="1" s="24">
      <c r="A695" s="29" t="inlineStr">
        <is>
          <t>Remboursements</t>
        </is>
      </c>
      <c r="D695" s="32">
        <f>IF(C730&gt;0,-1000,0)</f>
        <v/>
      </c>
    </row>
    <row r="696" ht="15" customHeight="1" s="24">
      <c r="A696" s="29" t="inlineStr">
        <is>
          <t>Agios</t>
        </is>
      </c>
      <c r="D696" s="32">
        <f>IF(C732&gt;0,MAX(1000,ROUNDUP(C732*0.10/1000,0)*1000),0)</f>
        <v/>
      </c>
    </row>
    <row r="697" ht="15" customHeight="1" s="24">
      <c r="A697" s="29" t="inlineStr">
        <is>
          <t>Règlement dettes</t>
        </is>
      </c>
      <c r="D697" s="32" t="n">
        <v>0</v>
      </c>
    </row>
    <row r="700" ht="15" customHeight="1" s="24">
      <c r="A700" s="29" t="inlineStr">
        <is>
          <t>Stock acheté</t>
        </is>
      </c>
      <c r="D700" s="32">
        <f>$D$686</f>
        <v/>
      </c>
    </row>
    <row r="701" ht="15" customHeight="1" s="24">
      <c r="A701" s="29" t="inlineStr">
        <is>
          <t>Stock à payer</t>
        </is>
      </c>
      <c r="D701" s="32">
        <f>IF($D$687="Tréso",-$D$686,0)</f>
        <v/>
      </c>
    </row>
    <row r="704" ht="15" customHeight="1" s="24">
      <c r="A704" s="29" t="inlineStr">
        <is>
          <t>Capacité prod.</t>
        </is>
      </c>
      <c r="D704" s="32">
        <f>4+IFERROR(VLOOKUP($D$689,Données!$A$2:$V$38,18,0),0)</f>
        <v/>
      </c>
    </row>
    <row r="705" ht="15" customHeight="1" s="24">
      <c r="A705" s="29" t="inlineStr">
        <is>
          <t>Stocks dispo</t>
        </is>
      </c>
      <c r="D705" s="32">
        <f>C723+D700</f>
        <v/>
      </c>
    </row>
    <row r="706" ht="15" customHeight="1" s="24">
      <c r="A706" s="29" t="inlineStr">
        <is>
          <t>Unités vendues</t>
        </is>
      </c>
      <c r="D706" s="32" t="n">
        <v>0</v>
      </c>
    </row>
    <row r="707" ht="15" customHeight="1" s="24">
      <c r="A707" s="29" t="inlineStr">
        <is>
          <t>CA (Chiffre affaires)</t>
        </is>
      </c>
      <c r="D707" s="32">
        <f>D706*2000</f>
        <v/>
      </c>
    </row>
    <row r="708" ht="15" customHeight="1" s="24">
      <c r="A708" s="29" t="inlineStr">
        <is>
          <t>CMV (Coût matière)</t>
        </is>
      </c>
      <c r="D708" s="32">
        <f>-D706*1000</f>
        <v/>
      </c>
    </row>
    <row r="711" ht="15" customHeight="1" s="24">
      <c r="A711" s="29" t="inlineStr">
        <is>
          <t>Immobilisations</t>
        </is>
      </c>
      <c r="D711" s="32">
        <f>IFERROR(VLOOKUP($D$689,Données!$A$2:$V$38,4,0),0)</f>
        <v/>
      </c>
    </row>
    <row r="712" ht="15" customHeight="1" s="24">
      <c r="A712" s="29" t="inlineStr">
        <is>
          <t>Trésorerie</t>
        </is>
      </c>
      <c r="D712" s="32">
        <f>IFERROR(VLOOKUP($D$689,Données!$A$2:$V$38,5,0),0)</f>
        <v/>
      </c>
    </row>
    <row r="713" ht="15" customHeight="1" s="24">
      <c r="A713" s="29" t="inlineStr">
        <is>
          <t>Stocks</t>
        </is>
      </c>
      <c r="D713" s="32">
        <f>IFERROR(VLOOKUP($D$689,Données!$A$2:$V$38,19,0),0)</f>
        <v/>
      </c>
    </row>
    <row r="716" ht="15" customHeight="1" s="24">
      <c r="A716" s="29" t="inlineStr">
        <is>
          <t>Trésorerie</t>
        </is>
      </c>
      <c r="D716" s="32">
        <f>IFERROR(VLOOKUP($D$688,Données!$A$2:$V$38,5,0),0)</f>
        <v/>
      </c>
    </row>
    <row r="717" ht="15" customHeight="1" s="24">
      <c r="A717" s="29" t="inlineStr">
        <is>
          <t>Stocks</t>
        </is>
      </c>
      <c r="D717" s="32" t="n">
        <v>0</v>
      </c>
    </row>
    <row r="721" ht="15" customHeight="1" s="24">
      <c r="A721" s="27" t="inlineStr">
        <is>
          <t>📊 BILAN</t>
        </is>
      </c>
    </row>
    <row r="722" ht="15" customHeight="1" s="24">
      <c r="A722" s="33" t="inlineStr">
        <is>
          <t>Immobilisations</t>
        </is>
      </c>
      <c r="C722" s="34">
        <f>E655</f>
        <v/>
      </c>
      <c r="E722" s="34">
        <f>MAX(0,C722+D694+D711)</f>
        <v/>
      </c>
    </row>
    <row r="723" ht="15" customHeight="1" s="24">
      <c r="A723" s="29" t="inlineStr">
        <is>
          <t>Stocks</t>
        </is>
      </c>
      <c r="C723" s="35">
        <f>E656</f>
        <v/>
      </c>
      <c r="E723" s="35">
        <f>C723+D700+D713+D717</f>
        <v/>
      </c>
    </row>
    <row r="724" ht="15" customHeight="1" s="24">
      <c r="A724" s="29" t="inlineStr">
        <is>
          <t>Créances clients</t>
        </is>
      </c>
      <c r="C724" s="35">
        <f>E657</f>
        <v/>
      </c>
      <c r="E724" s="35">
        <f>C724+D707</f>
        <v/>
      </c>
    </row>
    <row r="725" ht="15" customHeight="1" s="24">
      <c r="A725" s="29" t="inlineStr">
        <is>
          <t>Trésorerie</t>
        </is>
      </c>
      <c r="C725" s="35">
        <f>E658</f>
        <v/>
      </c>
      <c r="E725" s="35">
        <f>C725+D693+D695+D701+D712+D716</f>
        <v/>
      </c>
    </row>
    <row r="726" ht="15" customHeight="1" s="24">
      <c r="A726" s="36" t="inlineStr">
        <is>
          <t>TOTAL ACTIF</t>
        </is>
      </c>
      <c r="C726" s="37">
        <f>SUM(C722:C725)</f>
        <v/>
      </c>
      <c r="E726" s="37">
        <f>SUM(E722:E725)</f>
        <v/>
      </c>
    </row>
    <row r="729" ht="15" customHeight="1" s="24">
      <c r="A729" s="33" t="inlineStr">
        <is>
          <t>Capitaux propres</t>
        </is>
      </c>
      <c r="C729" s="38">
        <f>E662</f>
        <v/>
      </c>
      <c r="E729" s="38">
        <f>C729</f>
        <v/>
      </c>
    </row>
    <row r="730" ht="15" customHeight="1" s="24">
      <c r="A730" s="29" t="inlineStr">
        <is>
          <t>Emprunts</t>
        </is>
      </c>
      <c r="C730" s="39">
        <f>E663</f>
        <v/>
      </c>
      <c r="E730" s="39">
        <f>C730+$D$685+D695</f>
        <v/>
      </c>
    </row>
    <row r="731" ht="15" customHeight="1" s="24">
      <c r="A731" s="29" t="inlineStr">
        <is>
          <t>Dettes fournisseurs</t>
        </is>
      </c>
      <c r="C731" s="39">
        <f>E664</f>
        <v/>
      </c>
      <c r="E731" s="39">
        <f>C731</f>
        <v/>
      </c>
    </row>
    <row r="732" ht="15" customHeight="1" s="24">
      <c r="A732" s="29" t="inlineStr">
        <is>
          <t>Découvert</t>
        </is>
      </c>
      <c r="C732" s="39">
        <f>E665</f>
        <v/>
      </c>
      <c r="E732" s="39">
        <f>C732+D696</f>
        <v/>
      </c>
    </row>
    <row r="733" ht="15" customHeight="1" s="24">
      <c r="A733" s="29" t="inlineStr">
        <is>
          <t>Résultat</t>
        </is>
      </c>
      <c r="C733" s="39">
        <f>E666</f>
        <v/>
      </c>
      <c r="E733" s="39">
        <f>E726-(E729+E730+E731+E732)</f>
        <v/>
      </c>
    </row>
    <row r="734" ht="15" customHeight="1" s="24">
      <c r="A734" s="36" t="inlineStr">
        <is>
          <t>TOTAL PASSIF</t>
        </is>
      </c>
      <c r="C734" s="37">
        <f>SUM(C729:C733)</f>
        <v/>
      </c>
      <c r="E734" s="37">
        <f>SUM(E729:E733)</f>
        <v/>
      </c>
    </row>
    <row r="735" ht="15" customHeight="1" s="24">
      <c r="A735" s="23" t="inlineStr">
        <is>
          <t>Équilibre (APRÈS)</t>
        </is>
      </c>
      <c r="C735" s="40">
        <f>E726-E734</f>
        <v/>
      </c>
    </row>
    <row r="736" ht="15" customHeight="1" s="24">
      <c r="A736" s="27" t="inlineStr">
        <is>
          <t>📈 COMPTE DE RÉSULTAT — TRIMESTRE 11</t>
        </is>
      </c>
    </row>
    <row r="737" ht="15" customHeight="1" s="24">
      <c r="A737" s="41" t="inlineStr">
        <is>
          <t>POSTE</t>
        </is>
      </c>
      <c r="B737" s="41" t="inlineStr">
        <is>
          <t>±</t>
        </is>
      </c>
      <c r="D737" s="41" t="inlineStr">
        <is>
          <t>MONTANT</t>
        </is>
      </c>
      <c r="F737" s="41" t="inlineStr">
        <is>
          <t>NOTE</t>
        </is>
      </c>
    </row>
    <row r="738" ht="15" customHeight="1" s="24">
      <c r="A738" s="42" t="inlineStr">
        <is>
          <t>CA ventes</t>
        </is>
      </c>
      <c r="B738" s="42" t="inlineStr">
        <is>
          <t>(+)</t>
        </is>
      </c>
      <c r="D738" s="43">
        <f>D707</f>
        <v/>
      </c>
      <c r="F738" s="42" t="inlineStr">
        <is>
          <t>Unités × 2 000 €/u</t>
        </is>
      </c>
    </row>
    <row r="739" ht="15" customHeight="1" s="24">
      <c r="A739" s="42" t="inlineStr">
        <is>
          <t>Produits except.</t>
        </is>
      </c>
      <c r="B739" s="42" t="inlineStr">
        <is>
          <t>(+)</t>
        </is>
      </c>
      <c r="D739" s="43">
        <f>IFERROR(VLOOKUP($D$689,Données!$A$2:$V$38,14,0),0)+IFERROR(VLOOKUP($D$690,Données!$B$45:$L$57,8,0),0)+IFERROR(VLOOKUP($D$689,Données!$A$2:$V$38,15,0),0)+IFERROR(VLOOKUP($D$690,Données!$B$45:$L$57,9,0),0)</f>
        <v/>
      </c>
      <c r="F739" s="42" t="inlineStr">
        <is>
          <t>Subvention, remb. assurance</t>
        </is>
      </c>
    </row>
    <row r="740" ht="15" customHeight="1" s="24">
      <c r="A740" s="36" t="inlineStr">
        <is>
          <t>TOTAL PRODUITS</t>
        </is>
      </c>
      <c r="B740" s="36" t="inlineStr">
        <is>
          <t>Σ</t>
        </is>
      </c>
      <c r="D740" s="37">
        <f>D738+D739</f>
        <v/>
      </c>
    </row>
    <row r="741" ht="15" customHeight="1" s="24">
      <c r="A741" s="44" t="inlineStr">
        <is>
          <t>CMV</t>
        </is>
      </c>
      <c r="B741" s="44" t="inlineStr">
        <is>
          <t>(−)</t>
        </is>
      </c>
      <c r="D741" s="39">
        <f>D708</f>
        <v/>
      </c>
      <c r="F741" s="44" t="inlineStr">
        <is>
          <t>Stocks à valeur d'achat</t>
        </is>
      </c>
    </row>
    <row r="742" ht="15" customHeight="1" s="24">
      <c r="A742" s="44" t="inlineStr">
        <is>
          <t>Ch. personnel</t>
        </is>
      </c>
      <c r="B742" s="44" t="inlineStr">
        <is>
          <t>(−)</t>
        </is>
      </c>
      <c r="D742" s="39">
        <f>IFERROR(VLOOKUP($D$688,Données!$A$2:$V$38,9,0),0)+IFERROR(VLOOKUP($D$689,Données!$A$2:$V$38,9,0),0)</f>
        <v/>
      </c>
      <c r="F742" s="44" t="inlineStr">
        <is>
          <t>Salaires commerciaux</t>
        </is>
      </c>
    </row>
    <row r="743" ht="15" customHeight="1" s="24">
      <c r="A743" s="44" t="inlineStr">
        <is>
          <t>Ch. fixes &amp; serv.</t>
        </is>
      </c>
      <c r="B743" s="44" t="inlineStr">
        <is>
          <t>(−)</t>
        </is>
      </c>
      <c r="D743" s="39">
        <f>-2000+IFERROR(VLOOKUP($D$689,Données!$A$2:$V$38,10,0),0)+IFERROR(VLOOKUP($D$690,Données!$B$45:$L$57,3,0),0)</f>
        <v/>
      </c>
      <c r="F743" s="44" t="inlineStr">
        <is>
          <t>Loyer -2000 + cartes</t>
        </is>
      </c>
    </row>
    <row r="744" ht="15" customHeight="1" s="24">
      <c r="A744" s="44" t="inlineStr">
        <is>
          <t>Dotations amort.</t>
        </is>
      </c>
      <c r="B744" s="44" t="inlineStr">
        <is>
          <t>(−)</t>
        </is>
      </c>
      <c r="D744" s="39">
        <f>D694</f>
        <v/>
      </c>
      <c r="F744" s="44" t="inlineStr">
        <is>
          <t>Amortissements</t>
        </is>
      </c>
    </row>
    <row r="745" ht="15" customHeight="1" s="24">
      <c r="A745" s="44" t="inlineStr">
        <is>
          <t>Ch. intérêt</t>
        </is>
      </c>
      <c r="B745" s="44" t="inlineStr">
        <is>
          <t>(−)</t>
        </is>
      </c>
      <c r="D745" s="39">
        <f>-D696+IFERROR(VLOOKUP($D$689,Données!$A$2:$V$38,12,0),0)</f>
        <v/>
      </c>
      <c r="F745" s="44" t="inlineStr">
        <is>
          <t>Agios + intérêts emprunt</t>
        </is>
      </c>
    </row>
    <row r="746" ht="15" customHeight="1" s="24">
      <c r="A746" s="36" t="inlineStr">
        <is>
          <t>TOTAL CHARGES</t>
        </is>
      </c>
      <c r="B746" s="36" t="inlineStr">
        <is>
          <t>Σ</t>
        </is>
      </c>
      <c r="D746" s="37">
        <f>SUM(D741:D745)</f>
        <v/>
      </c>
    </row>
    <row r="747" ht="15" customHeight="1" s="24">
      <c r="A747" s="45" t="inlineStr">
        <is>
          <t>RÉSULTAT NET</t>
        </is>
      </c>
      <c r="B747" s="45" t="inlineStr">
        <is>
          <t>=</t>
        </is>
      </c>
      <c r="D747" s="40">
        <f>D740+D746</f>
        <v/>
      </c>
    </row>
    <row r="749" ht="15" customHeight="1" s="24">
      <c r="A749" s="27" t="inlineStr">
        <is>
          <t>TRIMESTRE 12</t>
        </is>
      </c>
    </row>
    <row r="750" ht="15" customHeight="1" s="24">
      <c r="A750" s="28" t="inlineStr">
        <is>
          <t>📋 DÉCISIONS</t>
        </is>
      </c>
    </row>
    <row r="752" ht="15" customHeight="1" s="24">
      <c r="A752" s="29" t="inlineStr">
        <is>
          <t>Emprunt demandé :</t>
        </is>
      </c>
      <c r="D752" s="30" t="n">
        <v>0</v>
      </c>
    </row>
    <row r="753" ht="15" customHeight="1" s="24">
      <c r="A753" s="29" t="inlineStr">
        <is>
          <t>Achat de stock :</t>
        </is>
      </c>
      <c r="D753" s="30" t="n">
        <v>0</v>
      </c>
    </row>
    <row r="754" ht="15" customHeight="1" s="24">
      <c r="A754" s="29" t="inlineStr">
        <is>
          <t>Mode de trésorerie :</t>
        </is>
      </c>
      <c r="D754" s="26" t="inlineStr">
        <is>
          <t>Tréso</t>
        </is>
      </c>
    </row>
    <row r="755" ht="15" customHeight="1" s="24">
      <c r="A755" s="29" t="inlineStr">
        <is>
          <t>Recrutement :</t>
        </is>
      </c>
      <c r="D755" s="26" t="inlineStr">
        <is>
          <t>Aucun</t>
        </is>
      </c>
    </row>
    <row r="756" ht="15" customHeight="1" s="24">
      <c r="A756" s="29" t="inlineStr">
        <is>
          <t>Carte action :</t>
        </is>
      </c>
      <c r="D756" s="26" t="inlineStr">
        <is>
          <t>Aucune</t>
        </is>
      </c>
    </row>
    <row r="757" ht="15" customHeight="1" s="24">
      <c r="A757" s="29" t="inlineStr">
        <is>
          <t>Événement :</t>
        </is>
      </c>
      <c r="D757" s="26" t="inlineStr">
        <is>
          <t>Aucun</t>
        </is>
      </c>
    </row>
    <row r="759" ht="15" customHeight="1" s="24">
      <c r="A759" s="31" t="inlineStr">
        <is>
          <t>⚙️ EFFETS AUTOMATIQUES</t>
        </is>
      </c>
    </row>
    <row r="760" ht="15" customHeight="1" s="24">
      <c r="A760" s="29" t="inlineStr">
        <is>
          <t>Charges courantes</t>
        </is>
      </c>
      <c r="D760" s="32" t="n">
        <v>-2000</v>
      </c>
    </row>
    <row r="761" ht="15" customHeight="1" s="24">
      <c r="A761" s="29" t="inlineStr">
        <is>
          <t>Amortissements</t>
        </is>
      </c>
      <c r="D761" s="32">
        <f>MAX(-VLOOKUP($D$3,Données!$A$65:$J$68,6,0)*1000,-C789)</f>
        <v/>
      </c>
    </row>
    <row r="762" ht="15" customHeight="1" s="24">
      <c r="A762" s="29" t="inlineStr">
        <is>
          <t>Remboursements</t>
        </is>
      </c>
      <c r="D762" s="32">
        <f>IF(C797&gt;0,-1000,0)</f>
        <v/>
      </c>
    </row>
    <row r="763" ht="15" customHeight="1" s="24">
      <c r="A763" s="29" t="inlineStr">
        <is>
          <t>Agios</t>
        </is>
      </c>
      <c r="D763" s="32">
        <f>IF(C799&gt;0,MAX(1000,ROUNDUP(C799*0.10/1000,0)*1000),0)</f>
        <v/>
      </c>
    </row>
    <row r="764" ht="15" customHeight="1" s="24">
      <c r="A764" s="29" t="inlineStr">
        <is>
          <t>Règlement dettes</t>
        </is>
      </c>
      <c r="D764" s="32" t="n">
        <v>0</v>
      </c>
    </row>
    <row r="767" ht="15" customHeight="1" s="24">
      <c r="A767" s="29" t="inlineStr">
        <is>
          <t>Stock acheté</t>
        </is>
      </c>
      <c r="D767" s="32">
        <f>$D$753</f>
        <v/>
      </c>
    </row>
    <row r="768" ht="15" customHeight="1" s="24">
      <c r="A768" s="29" t="inlineStr">
        <is>
          <t>Stock à payer</t>
        </is>
      </c>
      <c r="D768" s="32">
        <f>IF($D$754="Tréso",-$D$753,0)</f>
        <v/>
      </c>
    </row>
    <row r="771" ht="15" customHeight="1" s="24">
      <c r="A771" s="29" t="inlineStr">
        <is>
          <t>Capacité prod.</t>
        </is>
      </c>
      <c r="D771" s="32">
        <f>4+IFERROR(VLOOKUP($D$756,Données!$A$2:$V$38,18,0),0)</f>
        <v/>
      </c>
    </row>
    <row r="772" ht="15" customHeight="1" s="24">
      <c r="A772" s="29" t="inlineStr">
        <is>
          <t>Stocks dispo</t>
        </is>
      </c>
      <c r="D772" s="32">
        <f>C790+D767</f>
        <v/>
      </c>
    </row>
    <row r="773" ht="15" customHeight="1" s="24">
      <c r="A773" s="29" t="inlineStr">
        <is>
          <t>Unités vendues</t>
        </is>
      </c>
      <c r="D773" s="32" t="n">
        <v>0</v>
      </c>
    </row>
    <row r="774" ht="15" customHeight="1" s="24">
      <c r="A774" s="29" t="inlineStr">
        <is>
          <t>CA (Chiffre affaires)</t>
        </is>
      </c>
      <c r="D774" s="32">
        <f>D773*2000</f>
        <v/>
      </c>
    </row>
    <row r="775" ht="15" customHeight="1" s="24">
      <c r="A775" s="29" t="inlineStr">
        <is>
          <t>CMV (Coût matière)</t>
        </is>
      </c>
      <c r="D775" s="32">
        <f>-D773*1000</f>
        <v/>
      </c>
    </row>
    <row r="778" ht="15" customHeight="1" s="24">
      <c r="A778" s="29" t="inlineStr">
        <is>
          <t>Immobilisations</t>
        </is>
      </c>
      <c r="D778" s="32">
        <f>IFERROR(VLOOKUP($D$756,Données!$A$2:$V$38,4,0),0)</f>
        <v/>
      </c>
    </row>
    <row r="779" ht="15" customHeight="1" s="24">
      <c r="A779" s="29" t="inlineStr">
        <is>
          <t>Trésorerie</t>
        </is>
      </c>
      <c r="D779" s="32">
        <f>IFERROR(VLOOKUP($D$756,Données!$A$2:$V$38,5,0),0)</f>
        <v/>
      </c>
    </row>
    <row r="780" ht="15" customHeight="1" s="24">
      <c r="A780" s="29" t="inlineStr">
        <is>
          <t>Stocks</t>
        </is>
      </c>
      <c r="D780" s="32">
        <f>IFERROR(VLOOKUP($D$756,Données!$A$2:$V$38,19,0),0)</f>
        <v/>
      </c>
    </row>
    <row r="783" ht="15" customHeight="1" s="24">
      <c r="A783" s="29" t="inlineStr">
        <is>
          <t>Trésorerie</t>
        </is>
      </c>
      <c r="D783" s="32">
        <f>IFERROR(VLOOKUP($D$755,Données!$A$2:$V$38,5,0),0)</f>
        <v/>
      </c>
    </row>
    <row r="784" ht="15" customHeight="1" s="24">
      <c r="A784" s="29" t="inlineStr">
        <is>
          <t>Stocks</t>
        </is>
      </c>
      <c r="D784" s="32" t="n">
        <v>0</v>
      </c>
    </row>
    <row r="788" ht="15" customHeight="1" s="24">
      <c r="A788" s="27" t="inlineStr">
        <is>
          <t>📊 BILAN</t>
        </is>
      </c>
    </row>
    <row r="789" ht="15" customHeight="1" s="24">
      <c r="A789" s="33" t="inlineStr">
        <is>
          <t>Immobilisations</t>
        </is>
      </c>
      <c r="C789" s="34">
        <f>E722</f>
        <v/>
      </c>
      <c r="E789" s="34">
        <f>MAX(0,C789+D761+D778)</f>
        <v/>
      </c>
    </row>
    <row r="790" ht="15" customHeight="1" s="24">
      <c r="A790" s="29" t="inlineStr">
        <is>
          <t>Stocks</t>
        </is>
      </c>
      <c r="C790" s="35">
        <f>E723</f>
        <v/>
      </c>
      <c r="E790" s="35">
        <f>C790+D767+D780+D784</f>
        <v/>
      </c>
    </row>
    <row r="791" ht="15" customHeight="1" s="24">
      <c r="A791" s="29" t="inlineStr">
        <is>
          <t>Créances clients</t>
        </is>
      </c>
      <c r="C791" s="35">
        <f>E724</f>
        <v/>
      </c>
      <c r="E791" s="35">
        <f>C791+D774</f>
        <v/>
      </c>
    </row>
    <row r="792" ht="15" customHeight="1" s="24">
      <c r="A792" s="29" t="inlineStr">
        <is>
          <t>Trésorerie</t>
        </is>
      </c>
      <c r="C792" s="35">
        <f>E725</f>
        <v/>
      </c>
      <c r="E792" s="35">
        <f>C792+D760+D762+D768+D779+D783</f>
        <v/>
      </c>
    </row>
    <row r="793" ht="15" customHeight="1" s="24">
      <c r="A793" s="36" t="inlineStr">
        <is>
          <t>TOTAL ACTIF</t>
        </is>
      </c>
      <c r="C793" s="37">
        <f>SUM(C789:C792)</f>
        <v/>
      </c>
      <c r="E793" s="37">
        <f>SUM(E789:E792)</f>
        <v/>
      </c>
    </row>
    <row r="796" ht="15" customHeight="1" s="24">
      <c r="A796" s="33" t="inlineStr">
        <is>
          <t>Capitaux propres</t>
        </is>
      </c>
      <c r="C796" s="38">
        <f>E729</f>
        <v/>
      </c>
      <c r="E796" s="38">
        <f>C796</f>
        <v/>
      </c>
    </row>
    <row r="797" ht="15" customHeight="1" s="24">
      <c r="A797" s="29" t="inlineStr">
        <is>
          <t>Emprunts</t>
        </is>
      </c>
      <c r="C797" s="39">
        <f>E730</f>
        <v/>
      </c>
      <c r="E797" s="39">
        <f>C797+$D$752+D762</f>
        <v/>
      </c>
    </row>
    <row r="798" ht="15" customHeight="1" s="24">
      <c r="A798" s="29" t="inlineStr">
        <is>
          <t>Dettes fournisseurs</t>
        </is>
      </c>
      <c r="C798" s="39">
        <f>E731</f>
        <v/>
      </c>
      <c r="E798" s="39">
        <f>C798</f>
        <v/>
      </c>
    </row>
    <row r="799" ht="15" customHeight="1" s="24">
      <c r="A799" s="29" t="inlineStr">
        <is>
          <t>Découvert</t>
        </is>
      </c>
      <c r="C799" s="39">
        <f>E732</f>
        <v/>
      </c>
      <c r="E799" s="39">
        <f>C799+D763</f>
        <v/>
      </c>
    </row>
    <row r="800" ht="15" customHeight="1" s="24">
      <c r="A800" s="29" t="inlineStr">
        <is>
          <t>Résultat</t>
        </is>
      </c>
      <c r="C800" s="39">
        <f>E733</f>
        <v/>
      </c>
      <c r="E800" s="39">
        <f>E793-(E796+E797+E798+E799)</f>
        <v/>
      </c>
    </row>
    <row r="801" ht="15" customHeight="1" s="24">
      <c r="A801" s="36" t="inlineStr">
        <is>
          <t>TOTAL PASSIF</t>
        </is>
      </c>
      <c r="C801" s="37">
        <f>SUM(C796:C800)</f>
        <v/>
      </c>
      <c r="E801" s="37">
        <f>SUM(E796:E800)</f>
        <v/>
      </c>
    </row>
    <row r="802" ht="15" customHeight="1" s="24">
      <c r="A802" s="23" t="inlineStr">
        <is>
          <t>Équilibre (APRÈS)</t>
        </is>
      </c>
      <c r="C802" s="40">
        <f>E793-E801</f>
        <v/>
      </c>
    </row>
    <row r="803" ht="15" customHeight="1" s="24">
      <c r="A803" s="27" t="inlineStr">
        <is>
          <t>📈 COMPTE DE RÉSULTAT — TRIMESTRE 12</t>
        </is>
      </c>
    </row>
    <row r="804" ht="15" customHeight="1" s="24">
      <c r="A804" s="41" t="inlineStr">
        <is>
          <t>POSTE</t>
        </is>
      </c>
      <c r="B804" s="41" t="inlineStr">
        <is>
          <t>±</t>
        </is>
      </c>
      <c r="D804" s="41" t="inlineStr">
        <is>
          <t>MONTANT</t>
        </is>
      </c>
      <c r="F804" s="41" t="inlineStr">
        <is>
          <t>NOTE</t>
        </is>
      </c>
    </row>
    <row r="805" ht="15" customHeight="1" s="24">
      <c r="A805" s="42" t="inlineStr">
        <is>
          <t>CA ventes</t>
        </is>
      </c>
      <c r="B805" s="42" t="inlineStr">
        <is>
          <t>(+)</t>
        </is>
      </c>
      <c r="D805" s="43">
        <f>D774</f>
        <v/>
      </c>
      <c r="F805" s="42" t="inlineStr">
        <is>
          <t>Unités × 2 000 €/u</t>
        </is>
      </c>
    </row>
    <row r="806" ht="15" customHeight="1" s="24">
      <c r="A806" s="42" t="inlineStr">
        <is>
          <t>Produits except.</t>
        </is>
      </c>
      <c r="B806" s="42" t="inlineStr">
        <is>
          <t>(+)</t>
        </is>
      </c>
      <c r="D806" s="43">
        <f>IFERROR(VLOOKUP($D$756,Données!$A$2:$V$38,14,0),0)+IFERROR(VLOOKUP($D$757,Données!$B$45:$L$57,8,0),0)+IFERROR(VLOOKUP($D$756,Données!$A$2:$V$38,15,0),0)+IFERROR(VLOOKUP($D$757,Données!$B$45:$L$57,9,0),0)</f>
        <v/>
      </c>
      <c r="F806" s="42" t="inlineStr">
        <is>
          <t>Subvention, remb. assurance</t>
        </is>
      </c>
    </row>
    <row r="807" ht="15" customHeight="1" s="24">
      <c r="A807" s="36" t="inlineStr">
        <is>
          <t>TOTAL PRODUITS</t>
        </is>
      </c>
      <c r="B807" s="36" t="inlineStr">
        <is>
          <t>Σ</t>
        </is>
      </c>
      <c r="D807" s="37">
        <f>D805+D806</f>
        <v/>
      </c>
    </row>
    <row r="808" ht="15" customHeight="1" s="24">
      <c r="A808" s="44" t="inlineStr">
        <is>
          <t>CMV</t>
        </is>
      </c>
      <c r="B808" s="44" t="inlineStr">
        <is>
          <t>(−)</t>
        </is>
      </c>
      <c r="D808" s="39">
        <f>D775</f>
        <v/>
      </c>
      <c r="F808" s="44" t="inlineStr">
        <is>
          <t>Stocks à valeur d'achat</t>
        </is>
      </c>
    </row>
    <row r="809" ht="15" customHeight="1" s="24">
      <c r="A809" s="44" t="inlineStr">
        <is>
          <t>Ch. personnel</t>
        </is>
      </c>
      <c r="B809" s="44" t="inlineStr">
        <is>
          <t>(−)</t>
        </is>
      </c>
      <c r="D809" s="39">
        <f>IFERROR(VLOOKUP($D$755,Données!$A$2:$V$38,9,0),0)+IFERROR(VLOOKUP($D$756,Données!$A$2:$V$38,9,0),0)</f>
        <v/>
      </c>
      <c r="F809" s="44" t="inlineStr">
        <is>
          <t>Salaires commerciaux</t>
        </is>
      </c>
    </row>
    <row r="810" ht="15" customHeight="1" s="24">
      <c r="A810" s="44" t="inlineStr">
        <is>
          <t>Ch. fixes &amp; serv.</t>
        </is>
      </c>
      <c r="B810" s="44" t="inlineStr">
        <is>
          <t>(−)</t>
        </is>
      </c>
      <c r="D810" s="39">
        <f>-2000+IFERROR(VLOOKUP($D$756,Données!$A$2:$V$38,10,0),0)+IFERROR(VLOOKUP($D$757,Données!$B$45:$L$57,3,0),0)</f>
        <v/>
      </c>
      <c r="F810" s="44" t="inlineStr">
        <is>
          <t>Loyer -2000 + cartes</t>
        </is>
      </c>
    </row>
    <row r="811" ht="15" customHeight="1" s="24">
      <c r="A811" s="44" t="inlineStr">
        <is>
          <t>Dotations amort.</t>
        </is>
      </c>
      <c r="B811" s="44" t="inlineStr">
        <is>
          <t>(−)</t>
        </is>
      </c>
      <c r="D811" s="39">
        <f>D761</f>
        <v/>
      </c>
      <c r="F811" s="44" t="inlineStr">
        <is>
          <t>Amortissements</t>
        </is>
      </c>
    </row>
    <row r="812" ht="15" customHeight="1" s="24">
      <c r="A812" s="44" t="inlineStr">
        <is>
          <t>Ch. intérêt</t>
        </is>
      </c>
      <c r="B812" s="44" t="inlineStr">
        <is>
          <t>(−)</t>
        </is>
      </c>
      <c r="D812" s="39">
        <f>-D763+IFERROR(VLOOKUP($D$756,Données!$A$2:$V$38,12,0),0)</f>
        <v/>
      </c>
      <c r="F812" s="44" t="inlineStr">
        <is>
          <t>Agios + intérêts emprunt</t>
        </is>
      </c>
    </row>
    <row r="813" ht="15" customHeight="1" s="24">
      <c r="A813" s="36" t="inlineStr">
        <is>
          <t>TOTAL CHARGES</t>
        </is>
      </c>
      <c r="B813" s="36" t="inlineStr">
        <is>
          <t>Σ</t>
        </is>
      </c>
      <c r="D813" s="37">
        <f>SUM(D808:D812)</f>
        <v/>
      </c>
    </row>
    <row r="814" ht="15" customHeight="1" s="24">
      <c r="A814" s="45" t="inlineStr">
        <is>
          <t>RÉSULTAT NET</t>
        </is>
      </c>
      <c r="B814" s="45" t="inlineStr">
        <is>
          <t>=</t>
        </is>
      </c>
      <c r="D814" s="40">
        <f>D807+D813</f>
        <v/>
      </c>
    </row>
  </sheetData>
  <mergeCells count="60">
    <mergeCell ref="A185:G185"/>
    <mergeCell ref="A803:G803"/>
    <mergeCell ref="A414:G414"/>
    <mergeCell ref="A290:G290"/>
    <mergeCell ref="A759:G759"/>
    <mergeCell ref="A386:G386"/>
    <mergeCell ref="A22:G22"/>
    <mergeCell ref="A424:G424"/>
    <mergeCell ref="A200:G200"/>
    <mergeCell ref="A491:G491"/>
    <mergeCell ref="A156:G156"/>
    <mergeCell ref="A482:G482"/>
    <mergeCell ref="A147:G147"/>
    <mergeCell ref="A280:G280"/>
    <mergeCell ref="A721:G721"/>
    <mergeCell ref="A481:G481"/>
    <mergeCell ref="A348:G348"/>
    <mergeCell ref="A401:G401"/>
    <mergeCell ref="A13:G13"/>
    <mergeCell ref="A357:G357"/>
    <mergeCell ref="A347:G347"/>
    <mergeCell ref="A736:G736"/>
    <mergeCell ref="A319:G319"/>
    <mergeCell ref="A692:G692"/>
    <mergeCell ref="A682:G682"/>
    <mergeCell ref="A615:G615"/>
    <mergeCell ref="A520:G520"/>
    <mergeCell ref="A51:G51"/>
    <mergeCell ref="A669:G669"/>
    <mergeCell ref="A549:G549"/>
    <mergeCell ref="A281:G281"/>
    <mergeCell ref="A334:G334"/>
    <mergeCell ref="A750:G750"/>
    <mergeCell ref="A79:G79"/>
    <mergeCell ref="A146:G146"/>
    <mergeCell ref="A548:G548"/>
    <mergeCell ref="A535:G535"/>
    <mergeCell ref="A252:G252"/>
    <mergeCell ref="A625:G625"/>
    <mergeCell ref="A133:G133"/>
    <mergeCell ref="A66:G66"/>
    <mergeCell ref="A89:G89"/>
    <mergeCell ref="A453:G453"/>
    <mergeCell ref="A80:G80"/>
    <mergeCell ref="A118:G118"/>
    <mergeCell ref="A683:G683"/>
    <mergeCell ref="A223:G223"/>
    <mergeCell ref="A267:G267"/>
    <mergeCell ref="A602:G602"/>
    <mergeCell ref="A214:G214"/>
    <mergeCell ref="A12:G12"/>
    <mergeCell ref="A654:G654"/>
    <mergeCell ref="A587:G587"/>
    <mergeCell ref="A749:G749"/>
    <mergeCell ref="A468:G468"/>
    <mergeCell ref="A415:G415"/>
    <mergeCell ref="A213:G213"/>
    <mergeCell ref="A788:G788"/>
    <mergeCell ref="A558:G558"/>
    <mergeCell ref="A616:G616"/>
  </mergeCells>
  <dataValidations count="62">
    <dataValidation sqref="D3" showDropDown="0" showInputMessage="0" showErrorMessage="0" allowBlank="0" type="list" errorStyle="stop" operator="between">
      <formula1>"Manufacture Belvaux,Véloce Transports,Azura Commerce,Synergia Lab"</formula1>
      <formula2>0</formula2>
    </dataValidation>
    <dataValidation sqref="D4" showDropDown="0" showInputMessage="0" showErrorMessage="0" allowBlank="0" type="list" errorStyle="stop" operator="between">
      <formula1>"6,8,10,12"</formula1>
      <formula2>0</formula2>
    </dataValidation>
    <dataValidation sqref="D15" showDropDown="0" showInputMessage="0" showErrorMessage="0" allowBlank="0" type="list" errorStyle="stop" operator="between">
      <formula1>"0,5000,8000,12000,16000,20000"</formula1>
      <formula2>0</formula2>
    </dataValidation>
    <dataValidation sqref="D17" showDropDown="0" showInputMessage="0" showErrorMessage="0" allowBlank="0" type="list" errorStyle="stop" operator="between">
      <formula1>"Tréso,Dettes D+1"</formula1>
      <formula2>0</formula2>
    </dataValidation>
    <dataValidation sqref="D18" showDropDown="0" showInputMessage="0" showErrorMessage="0" allowBlank="0" type="list" errorStyle="stop" operator="between">
      <formula1>"Aucun,Commercial Junior,Commercial Senior,Directrice Commerciale"</formula1>
      <formula2>0</formula2>
    </dataValidation>
    <dataValidation sqref="D19" showDropDown="0" showInputMessage="0" showErrorMessage="0" allowBlank="0" type="list" errorStyle="stop" operator="between">
      <formula1>"Aucune,Camionnette,Berline,Site Internet,RSE,R&amp;D,Expansion,Certification ISO,Application Mobile,Prêt Bancaire,Levée de Fonds,Crédit-Bail,Crowdfunding,Publicité,Relance Clients,Formation,Programme Fidélité,Export International,Partenariat Commercial,Affact"</formula1>
      <formula2>0</formula2>
    </dataValidation>
    <dataValidation sqref="D20" showDropDown="0" showInputMessage="0" showErrorMessage="0" allowBlank="0" type="list" errorStyle="stop" operator="between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sqref="D82" showDropDown="0" showInputMessage="0" showErrorMessage="0" allowBlank="0" type="list" errorStyle="stop" operator="between">
      <formula1>"0,5000,8000,12000,16000,20000"</formula1>
      <formula2>0</formula2>
    </dataValidation>
    <dataValidation sqref="D84" showDropDown="0" showInputMessage="0" showErrorMessage="0" allowBlank="0" type="list" errorStyle="stop" operator="between">
      <formula1>"Tréso,Dettes D+1"</formula1>
      <formula2>0</formula2>
    </dataValidation>
    <dataValidation sqref="D85" showDropDown="0" showInputMessage="0" showErrorMessage="0" allowBlank="0" type="list" errorStyle="stop" operator="between">
      <formula1>"Aucun,Commercial Junior,Commercial Senior,Directrice Commerciale"</formula1>
      <formula2>0</formula2>
    </dataValidation>
    <dataValidation sqref="D86" showDropDown="0" showInputMessage="0" showErrorMessage="0" allowBlank="0" type="list" errorStyle="stop" operator="between">
      <formula1>"Aucune,Camionnette,Berline,Site Internet,RSE,R&amp;D,Expansion,Certification ISO,Application Mobile,Prêt Bancaire,Levée de Fonds,Crédit-Bail,Crowdfunding,Publicité,Relance Clients,Formation,Programme Fidélité,Export International,Partenariat Commercial,Affact"</formula1>
      <formula2>0</formula2>
    </dataValidation>
    <dataValidation sqref="D87" showDropDown="0" showInputMessage="0" showErrorMessage="0" allowBlank="0" type="list" errorStyle="stop" operator="between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sqref="D149" showDropDown="0" showInputMessage="0" showErrorMessage="0" allowBlank="0" type="list" errorStyle="stop" operator="between">
      <formula1>"0,5000,8000,12000,16000,20000"</formula1>
      <formula2>0</formula2>
    </dataValidation>
    <dataValidation sqref="D151" showDropDown="0" showInputMessage="0" showErrorMessage="0" allowBlank="0" type="list" errorStyle="stop" operator="between">
      <formula1>"Tréso,Dettes D+1"</formula1>
      <formula2>0</formula2>
    </dataValidation>
    <dataValidation sqref="D152" showDropDown="0" showInputMessage="0" showErrorMessage="0" allowBlank="0" type="list" errorStyle="stop" operator="between">
      <formula1>"Aucun,Commercial Junior,Commercial Senior,Directrice Commerciale"</formula1>
      <formula2>0</formula2>
    </dataValidation>
    <dataValidation sqref="D153" showDropDown="0" showInputMessage="0" showErrorMessage="0" allowBlank="0" type="list" errorStyle="stop" operator="between">
      <formula1>"Aucune,Camionnette,Berline,Site Internet,RSE,R&amp;D,Expansion,Certification ISO,Application Mobile,Prêt Bancaire,Levée de Fonds,Crédit-Bail,Crowdfunding,Publicité,Relance Clients,Formation,Programme Fidélité,Export International,Partenariat Commercial,Affact"</formula1>
      <formula2>0</formula2>
    </dataValidation>
    <dataValidation sqref="D154" showDropDown="0" showInputMessage="0" showErrorMessage="0" allowBlank="0" type="list" errorStyle="stop" operator="between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sqref="D216" showDropDown="0" showInputMessage="0" showErrorMessage="0" allowBlank="0" type="list" errorStyle="stop" operator="between">
      <formula1>"0,5000,8000,12000,16000,20000"</formula1>
      <formula2>0</formula2>
    </dataValidation>
    <dataValidation sqref="D218" showDropDown="0" showInputMessage="0" showErrorMessage="0" allowBlank="0" type="list" errorStyle="stop" operator="between">
      <formula1>"Tréso,Dettes D+1"</formula1>
      <formula2>0</formula2>
    </dataValidation>
    <dataValidation sqref="D219" showDropDown="0" showInputMessage="0" showErrorMessage="0" allowBlank="0" type="list" errorStyle="stop" operator="between">
      <formula1>"Aucun,Commercial Junior,Commercial Senior,Directrice Commerciale"</formula1>
      <formula2>0</formula2>
    </dataValidation>
    <dataValidation sqref="D220" showDropDown="0" showInputMessage="0" showErrorMessage="0" allowBlank="0" type="list" errorStyle="stop" operator="between">
      <formula1>"Aucune,Camionnette,Berline,Site Internet,RSE,R&amp;D,Expansion,Certification ISO,Application Mobile,Prêt Bancaire,Levée de Fonds,Crédit-Bail,Crowdfunding,Publicité,Relance Clients,Formation,Programme Fidélité,Export International,Partenariat Commercial,Affact"</formula1>
      <formula2>0</formula2>
    </dataValidation>
    <dataValidation sqref="D221" showDropDown="0" showInputMessage="0" showErrorMessage="0" allowBlank="0" type="list" errorStyle="stop" operator="between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sqref="D283" showDropDown="0" showInputMessage="0" showErrorMessage="0" allowBlank="0" type="list" errorStyle="stop" operator="between">
      <formula1>"0,5000,8000,12000,16000,20000"</formula1>
      <formula2>0</formula2>
    </dataValidation>
    <dataValidation sqref="D285" showDropDown="0" showInputMessage="0" showErrorMessage="0" allowBlank="0" type="list" errorStyle="stop" operator="between">
      <formula1>"Tréso,Dettes D+1"</formula1>
      <formula2>0</formula2>
    </dataValidation>
    <dataValidation sqref="D286" showDropDown="0" showInputMessage="0" showErrorMessage="0" allowBlank="0" type="list" errorStyle="stop" operator="between">
      <formula1>"Aucun,Commercial Junior,Commercial Senior,Directrice Commerciale"</formula1>
      <formula2>0</formula2>
    </dataValidation>
    <dataValidation sqref="D287" showDropDown="0" showInputMessage="0" showErrorMessage="0" allowBlank="0" type="list" errorStyle="stop" operator="between">
      <formula1>"Aucune,Camionnette,Berline,Site Internet,RSE,R&amp;D,Expansion,Certification ISO,Application Mobile,Prêt Bancaire,Levée de Fonds,Crédit-Bail,Crowdfunding,Publicité,Relance Clients,Formation,Programme Fidélité,Export International,Partenariat Commercial,Affact"</formula1>
      <formula2>0</formula2>
    </dataValidation>
    <dataValidation sqref="D288" showDropDown="0" showInputMessage="0" showErrorMessage="0" allowBlank="0" type="list" errorStyle="stop" operator="between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sqref="D350" showDropDown="0" showInputMessage="0" showErrorMessage="0" allowBlank="0" type="list" errorStyle="stop" operator="between">
      <formula1>"0,5000,8000,12000,16000,20000"</formula1>
      <formula2>0</formula2>
    </dataValidation>
    <dataValidation sqref="D352" showDropDown="0" showInputMessage="0" showErrorMessage="0" allowBlank="0" type="list" errorStyle="stop" operator="between">
      <formula1>"Tréso,Dettes D+1"</formula1>
      <formula2>0</formula2>
    </dataValidation>
    <dataValidation sqref="D353" showDropDown="0" showInputMessage="0" showErrorMessage="0" allowBlank="0" type="list" errorStyle="stop" operator="between">
      <formula1>"Aucun,Commercial Junior,Commercial Senior,Directrice Commerciale"</formula1>
      <formula2>0</formula2>
    </dataValidation>
    <dataValidation sqref="D354" showDropDown="0" showInputMessage="0" showErrorMessage="0" allowBlank="0" type="list" errorStyle="stop" operator="between">
      <formula1>"Aucune,Camionnette,Berline,Site Internet,RSE,R&amp;D,Expansion,Certification ISO,Application Mobile,Prêt Bancaire,Levée de Fonds,Crédit-Bail,Crowdfunding,Publicité,Relance Clients,Formation,Programme Fidélité,Export International,Partenariat Commercial,Affact"</formula1>
      <formula2>0</formula2>
    </dataValidation>
    <dataValidation sqref="D355" showDropDown="0" showInputMessage="0" showErrorMessage="0" allowBlank="0" type="list" errorStyle="stop" operator="between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sqref="D417" showDropDown="0" showInputMessage="0" showErrorMessage="0" allowBlank="0" type="list" errorStyle="stop" operator="between">
      <formula1>"0,5000,8000,12000,16000,20000"</formula1>
      <formula2>0</formula2>
    </dataValidation>
    <dataValidation sqref="D419" showDropDown="0" showInputMessage="0" showErrorMessage="0" allowBlank="0" type="list" errorStyle="stop" operator="between">
      <formula1>"Tréso,Dettes D+1"</formula1>
      <formula2>0</formula2>
    </dataValidation>
    <dataValidation sqref="D420" showDropDown="0" showInputMessage="0" showErrorMessage="0" allowBlank="0" type="list" errorStyle="stop" operator="between">
      <formula1>"Aucun,Commercial Junior,Commercial Senior,Directrice Commerciale"</formula1>
      <formula2>0</formula2>
    </dataValidation>
    <dataValidation sqref="D421" showDropDown="0" showInputMessage="0" showErrorMessage="0" allowBlank="0" type="list" errorStyle="stop" operator="between">
      <formula1>"Aucune,Camionnette,Berline,Site Internet,RSE,R&amp;D,Expansion,Certification ISO,Application Mobile,Prêt Bancaire,Levée de Fonds,Crédit-Bail,Crowdfunding,Publicité,Relance Clients,Formation,Programme Fidélité,Export International,Partenariat Commercial,Affact"</formula1>
      <formula2>0</formula2>
    </dataValidation>
    <dataValidation sqref="D422" showDropDown="0" showInputMessage="0" showErrorMessage="0" allowBlank="0" type="list" errorStyle="stop" operator="between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sqref="D484" showDropDown="0" showInputMessage="0" showErrorMessage="0" allowBlank="0" type="list" errorStyle="stop" operator="between">
      <formula1>"0,5000,8000,12000,16000,20000"</formula1>
      <formula2>0</formula2>
    </dataValidation>
    <dataValidation sqref="D486" showDropDown="0" showInputMessage="0" showErrorMessage="0" allowBlank="0" type="list" errorStyle="stop" operator="between">
      <formula1>"Tréso,Dettes D+1"</formula1>
      <formula2>0</formula2>
    </dataValidation>
    <dataValidation sqref="D487" showDropDown="0" showInputMessage="0" showErrorMessage="0" allowBlank="0" type="list" errorStyle="stop" operator="between">
      <formula1>"Aucun,Commercial Junior,Commercial Senior,Directrice Commerciale"</formula1>
      <formula2>0</formula2>
    </dataValidation>
    <dataValidation sqref="D488" showDropDown="0" showInputMessage="0" showErrorMessage="0" allowBlank="0" type="list" errorStyle="stop" operator="between">
      <formula1>"Aucune,Camionnette,Berline,Site Internet,RSE,R&amp;D,Expansion,Certification ISO,Application Mobile,Prêt Bancaire,Levée de Fonds,Crédit-Bail,Crowdfunding,Publicité,Relance Clients,Formation,Programme Fidélité,Export International,Partenariat Commercial,Affact"</formula1>
      <formula2>0</formula2>
    </dataValidation>
    <dataValidation sqref="D489" showDropDown="0" showInputMessage="0" showErrorMessage="0" allowBlank="0" type="list" errorStyle="stop" operator="between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sqref="D551" showDropDown="0" showInputMessage="0" showErrorMessage="0" allowBlank="0" type="list" errorStyle="stop" operator="between">
      <formula1>"0,5000,8000,12000,16000,20000"</formula1>
      <formula2>0</formula2>
    </dataValidation>
    <dataValidation sqref="D553" showDropDown="0" showInputMessage="0" showErrorMessage="0" allowBlank="0" type="list" errorStyle="stop" operator="between">
      <formula1>"Tréso,Dettes D+1"</formula1>
      <formula2>0</formula2>
    </dataValidation>
    <dataValidation sqref="D554" showDropDown="0" showInputMessage="0" showErrorMessage="0" allowBlank="0" type="list" errorStyle="stop" operator="between">
      <formula1>"Aucun,Commercial Junior,Commercial Senior,Directrice Commerciale"</formula1>
      <formula2>0</formula2>
    </dataValidation>
    <dataValidation sqref="D555" showDropDown="0" showInputMessage="0" showErrorMessage="0" allowBlank="0" type="list" errorStyle="stop" operator="between">
      <formula1>"Aucune,Camionnette,Berline,Site Internet,RSE,R&amp;D,Expansion,Certification ISO,Application Mobile,Prêt Bancaire,Levée de Fonds,Crédit-Bail,Crowdfunding,Publicité,Relance Clients,Formation,Programme Fidélité,Export International,Partenariat Commercial,Affact"</formula1>
      <formula2>0</formula2>
    </dataValidation>
    <dataValidation sqref="D556" showDropDown="0" showInputMessage="0" showErrorMessage="0" allowBlank="0" type="list" errorStyle="stop" operator="between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sqref="D618" showDropDown="0" showInputMessage="0" showErrorMessage="0" allowBlank="0" type="list" errorStyle="stop" operator="between">
      <formula1>"0,5000,8000,12000,16000,20000"</formula1>
      <formula2>0</formula2>
    </dataValidation>
    <dataValidation sqref="D620" showDropDown="0" showInputMessage="0" showErrorMessage="0" allowBlank="0" type="list" errorStyle="stop" operator="between">
      <formula1>"Tréso,Dettes D+1"</formula1>
      <formula2>0</formula2>
    </dataValidation>
    <dataValidation sqref="D621" showDropDown="0" showInputMessage="0" showErrorMessage="0" allowBlank="0" type="list" errorStyle="stop" operator="between">
      <formula1>"Aucun,Commercial Junior,Commercial Senior,Directrice Commerciale"</formula1>
      <formula2>0</formula2>
    </dataValidation>
    <dataValidation sqref="D622" showDropDown="0" showInputMessage="0" showErrorMessage="0" allowBlank="0" type="list" errorStyle="stop" operator="between">
      <formula1>"Aucune,Camionnette,Berline,Site Internet,RSE,R&amp;D,Expansion,Certification ISO,Application Mobile,Prêt Bancaire,Levée de Fonds,Crédit-Bail,Crowdfunding,Publicité,Relance Clients,Formation,Programme Fidélité,Export International,Partenariat Commercial,Affact"</formula1>
      <formula2>0</formula2>
    </dataValidation>
    <dataValidation sqref="D623" showDropDown="0" showInputMessage="0" showErrorMessage="0" allowBlank="0" type="list" errorStyle="stop" operator="between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sqref="D685" showDropDown="0" showInputMessage="0" showErrorMessage="0" allowBlank="0" type="list" errorStyle="stop" operator="between">
      <formula1>"0,5000,8000,12000,16000,20000"</formula1>
      <formula2>0</formula2>
    </dataValidation>
    <dataValidation sqref="D687" showDropDown="0" showInputMessage="0" showErrorMessage="0" allowBlank="0" type="list" errorStyle="stop" operator="between">
      <formula1>"Tréso,Dettes D+1"</formula1>
      <formula2>0</formula2>
    </dataValidation>
    <dataValidation sqref="D688" showDropDown="0" showInputMessage="0" showErrorMessage="0" allowBlank="0" type="list" errorStyle="stop" operator="between">
      <formula1>"Aucun,Commercial Junior,Commercial Senior,Directrice Commerciale"</formula1>
      <formula2>0</formula2>
    </dataValidation>
    <dataValidation sqref="D689" showDropDown="0" showInputMessage="0" showErrorMessage="0" allowBlank="0" type="list" errorStyle="stop" operator="between">
      <formula1>"Aucune,Camionnette,Berline,Site Internet,RSE,R&amp;D,Expansion,Certification ISO,Application Mobile,Prêt Bancaire,Levée de Fonds,Crédit-Bail,Crowdfunding,Publicité,Relance Clients,Formation,Programme Fidélité,Export International,Partenariat Commercial,Affact"</formula1>
      <formula2>0</formula2>
    </dataValidation>
    <dataValidation sqref="D690" showDropDown="0" showInputMessage="0" showErrorMessage="0" allowBlank="0" type="list" errorStyle="stop" operator="between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sqref="D752" showDropDown="0" showInputMessage="0" showErrorMessage="0" allowBlank="0" type="list" errorStyle="stop" operator="between">
      <formula1>"0,5000,8000,12000,16000,20000"</formula1>
      <formula2>0</formula2>
    </dataValidation>
    <dataValidation sqref="D754" showDropDown="0" showInputMessage="0" showErrorMessage="0" allowBlank="0" type="list" errorStyle="stop" operator="between">
      <formula1>"Tréso,Dettes D+1"</formula1>
      <formula2>0</formula2>
    </dataValidation>
    <dataValidation sqref="D755" showDropDown="0" showInputMessage="0" showErrorMessage="0" allowBlank="0" type="list" errorStyle="stop" operator="between">
      <formula1>"Aucun,Commercial Junior,Commercial Senior,Directrice Commerciale"</formula1>
      <formula2>0</formula2>
    </dataValidation>
    <dataValidation sqref="D756" showDropDown="0" showInputMessage="0" showErrorMessage="0" allowBlank="0" type="list" errorStyle="stop" operator="between">
      <formula1>"Aucune,Camionnette,Berline,Site Internet,RSE,R&amp;D,Expansion,Certification ISO,Application Mobile,Prêt Bancaire,Levée de Fonds,Crédit-Bail,Crowdfunding,Publicité,Relance Clients,Formation,Programme Fidélité,Export International,Partenariat Commercial,Affact"</formula1>
      <formula2>0</formula2>
    </dataValidation>
    <dataValidation sqref="D757" showDropDown="0" showInputMessage="0" showErrorMessage="0" allowBlank="0" type="list" errorStyle="stop" operator="between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V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24">
      <c r="A1" s="23" t="inlineStr">
        <is>
          <t>ID</t>
        </is>
      </c>
      <c r="B1" s="23" t="inlineStr">
        <is>
          <t>Titre</t>
        </is>
      </c>
      <c r="C1" s="23" t="inlineStr">
        <is>
          <t>Catégorie</t>
        </is>
      </c>
      <c r="D1" s="23" t="inlineStr">
        <is>
          <t>imm_immo</t>
        </is>
      </c>
      <c r="E1" s="23" t="inlineStr">
        <is>
          <t>imm_treso</t>
        </is>
      </c>
      <c r="F1" s="23" t="inlineStr">
        <is>
          <t>imm_emprunts</t>
        </is>
      </c>
      <c r="G1" s="23" t="inlineStr">
        <is>
          <t>imm_capitaux</t>
        </is>
      </c>
      <c r="H1" s="23" t="inlineStr">
        <is>
          <t>imm_servExt</t>
        </is>
      </c>
      <c r="I1" s="23" t="inlineStr">
        <is>
          <t>imm_charPers</t>
        </is>
      </c>
      <c r="J1" s="23" t="inlineStr">
        <is>
          <t>rec_servExt</t>
        </is>
      </c>
      <c r="K1" s="23" t="inlineStr">
        <is>
          <t>rec_treso</t>
        </is>
      </c>
      <c r="L1" s="23" t="inlineStr">
        <is>
          <t>rec_charInt</t>
        </is>
      </c>
      <c r="M1" s="23" t="inlineStr">
        <is>
          <t>rec_charPers</t>
        </is>
      </c>
      <c r="N1" s="23" t="inlineStr">
        <is>
          <t>rec_revExcep</t>
        </is>
      </c>
      <c r="O1" s="23" t="inlineStr">
        <is>
          <t>rec_prodFin</t>
        </is>
      </c>
      <c r="P1" s="23" t="inlineStr">
        <is>
          <t>clientType</t>
        </is>
      </c>
      <c r="Q1" s="23" t="inlineStr">
        <is>
          <t>nbClients</t>
        </is>
      </c>
      <c r="R1" s="23" t="inlineStr">
        <is>
          <t>capaciteBonus</t>
        </is>
      </c>
      <c r="S1" s="23" t="inlineStr">
        <is>
          <t>imm_stocks</t>
        </is>
      </c>
      <c r="T1" s="23" t="inlineStr">
        <is>
          <t>rec_stocks</t>
        </is>
      </c>
      <c r="U1" s="23" t="inlineStr">
        <is>
          <t>rec_amort</t>
        </is>
      </c>
      <c r="V1" s="23" t="inlineStr">
        <is>
          <t>rec_cmv</t>
        </is>
      </c>
    </row>
    <row r="2" ht="15" customHeight="1" s="24">
      <c r="A2" s="23" t="inlineStr">
        <is>
          <t>Commercial Junior</t>
        </is>
      </c>
      <c r="B2" s="23" t="inlineStr">
        <is>
          <t>Commercial Junior</t>
        </is>
      </c>
      <c r="C2" s="23" t="inlineStr">
        <is>
          <t>Commercial</t>
        </is>
      </c>
      <c r="D2" s="23" t="n">
        <v>0</v>
      </c>
      <c r="E2" s="23" t="n">
        <v>-1000</v>
      </c>
      <c r="F2" s="23" t="n">
        <v>0</v>
      </c>
      <c r="G2" s="23" t="n">
        <v>0</v>
      </c>
      <c r="H2" s="23" t="n">
        <v>0</v>
      </c>
      <c r="I2" s="23" t="n">
        <v>1000</v>
      </c>
      <c r="J2" s="23" t="n">
        <v>0</v>
      </c>
      <c r="K2" s="23" t="n">
        <v>-1000</v>
      </c>
      <c r="L2" s="23" t="n">
        <v>0</v>
      </c>
      <c r="M2" s="23" t="n">
        <v>1000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0</v>
      </c>
      <c r="S2" s="23" t="n">
        <v>0</v>
      </c>
      <c r="T2" s="23" t="n">
        <v>0</v>
      </c>
      <c r="U2" s="23" t="n">
        <v>0</v>
      </c>
      <c r="V2" s="23" t="n">
        <v>0</v>
      </c>
    </row>
    <row r="3" ht="15" customHeight="1" s="24">
      <c r="A3" s="23" t="inlineStr">
        <is>
          <t>Commercial Senior</t>
        </is>
      </c>
      <c r="B3" s="23" t="inlineStr">
        <is>
          <t>Commercial Senior</t>
        </is>
      </c>
      <c r="C3" s="23" t="inlineStr">
        <is>
          <t>Commercial</t>
        </is>
      </c>
      <c r="D3" s="23" t="n">
        <v>0</v>
      </c>
      <c r="E3" s="23" t="n">
        <v>-2000</v>
      </c>
      <c r="F3" s="23" t="n">
        <v>0</v>
      </c>
      <c r="G3" s="23" t="n">
        <v>0</v>
      </c>
      <c r="H3" s="23" t="n">
        <v>0</v>
      </c>
      <c r="I3" s="23" t="n">
        <v>2000</v>
      </c>
      <c r="J3" s="23" t="n">
        <v>0</v>
      </c>
      <c r="K3" s="23" t="n">
        <v>-2000</v>
      </c>
      <c r="L3" s="23" t="n">
        <v>0</v>
      </c>
      <c r="M3" s="23" t="n">
        <v>2000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  <c r="V3" s="23" t="n">
        <v>0</v>
      </c>
    </row>
    <row r="4" ht="15" customHeight="1" s="24">
      <c r="A4" s="23" t="inlineStr">
        <is>
          <t>Directrice Commerciale</t>
        </is>
      </c>
      <c r="B4" s="23" t="inlineStr">
        <is>
          <t>Directrice Commerciale</t>
        </is>
      </c>
      <c r="C4" s="23" t="inlineStr">
        <is>
          <t>Commercial</t>
        </is>
      </c>
      <c r="D4" s="23" t="n">
        <v>0</v>
      </c>
      <c r="E4" s="23" t="n">
        <v>-3000</v>
      </c>
      <c r="F4" s="23" t="n">
        <v>0</v>
      </c>
      <c r="G4" s="23" t="n">
        <v>0</v>
      </c>
      <c r="H4" s="23" t="n">
        <v>0</v>
      </c>
      <c r="I4" s="23" t="n">
        <v>3000</v>
      </c>
      <c r="J4" s="23" t="n">
        <v>0</v>
      </c>
      <c r="K4" s="23" t="n">
        <v>-3000</v>
      </c>
      <c r="L4" s="23" t="n">
        <v>0</v>
      </c>
      <c r="M4" s="23" t="n">
        <v>3000</v>
      </c>
      <c r="N4" s="23" t="n">
        <v>0</v>
      </c>
      <c r="O4" s="23" t="n">
        <v>0</v>
      </c>
      <c r="P4" s="23" t="n">
        <v>0</v>
      </c>
      <c r="Q4" s="23" t="n">
        <v>0</v>
      </c>
      <c r="R4" s="23" t="n">
        <v>0</v>
      </c>
      <c r="S4" s="23" t="n">
        <v>0</v>
      </c>
      <c r="T4" s="23" t="n">
        <v>0</v>
      </c>
      <c r="U4" s="23" t="n">
        <v>0</v>
      </c>
      <c r="V4" s="23" t="n">
        <v>0</v>
      </c>
    </row>
    <row r="5" ht="15" customHeight="1" s="24">
      <c r="A5" s="23" t="inlineStr">
        <is>
          <t>Camionnette</t>
        </is>
      </c>
      <c r="B5" s="23" t="inlineStr">
        <is>
          <t>Camionnette</t>
        </is>
      </c>
      <c r="C5" s="23" t="inlineStr">
        <is>
          <t>Transport</t>
        </is>
      </c>
      <c r="D5" s="23" t="n">
        <v>8000</v>
      </c>
      <c r="E5" s="23" t="n">
        <v>-8000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1000</v>
      </c>
      <c r="K5" s="23" t="n">
        <v>-1000</v>
      </c>
      <c r="L5" s="23" t="n">
        <v>0</v>
      </c>
      <c r="M5" s="23" t="n">
        <v>0</v>
      </c>
      <c r="N5" s="23" t="n">
        <v>0</v>
      </c>
      <c r="O5" s="23" t="n">
        <v>0</v>
      </c>
      <c r="P5" s="23" t="n">
        <v>1</v>
      </c>
      <c r="Q5" s="23" t="n">
        <v>1</v>
      </c>
      <c r="R5" s="23" t="n">
        <v>6</v>
      </c>
      <c r="S5" s="23" t="n">
        <v>0</v>
      </c>
      <c r="T5" s="23" t="n">
        <v>0</v>
      </c>
      <c r="U5" s="23" t="n">
        <v>0</v>
      </c>
      <c r="V5" s="23" t="n">
        <v>0</v>
      </c>
    </row>
    <row r="6" ht="15" customHeight="1" s="24">
      <c r="A6" s="23" t="inlineStr">
        <is>
          <t>Berline</t>
        </is>
      </c>
      <c r="B6" s="23" t="inlineStr">
        <is>
          <t>Berline</t>
        </is>
      </c>
      <c r="C6" s="23" t="inlineStr">
        <is>
          <t>Transport</t>
        </is>
      </c>
      <c r="D6" s="23" t="n">
        <v>8000</v>
      </c>
      <c r="E6" s="23" t="n">
        <v>-8000</v>
      </c>
      <c r="F6" s="23" t="n">
        <v>0</v>
      </c>
      <c r="G6" s="23" t="n">
        <v>0</v>
      </c>
      <c r="H6" s="23" t="n">
        <v>0</v>
      </c>
      <c r="I6" s="23" t="n">
        <v>0</v>
      </c>
      <c r="J6" s="23" t="n">
        <v>2000</v>
      </c>
      <c r="K6" s="23" t="n">
        <v>-2000</v>
      </c>
      <c r="L6" s="23" t="n">
        <v>0</v>
      </c>
      <c r="M6" s="23" t="n">
        <v>0</v>
      </c>
      <c r="N6" s="23" t="n">
        <v>0</v>
      </c>
      <c r="O6" s="23" t="n">
        <v>0</v>
      </c>
      <c r="P6" s="23" t="n">
        <v>0</v>
      </c>
      <c r="Q6" s="23" t="n">
        <v>0</v>
      </c>
      <c r="R6" s="23" t="n">
        <v>0</v>
      </c>
      <c r="S6" s="23" t="n">
        <v>0</v>
      </c>
      <c r="T6" s="23" t="n">
        <v>0</v>
      </c>
      <c r="U6" s="23" t="n">
        <v>0</v>
      </c>
      <c r="V6" s="23" t="n">
        <v>0</v>
      </c>
    </row>
    <row r="7" ht="15" customHeight="1" s="24">
      <c r="A7" s="23" t="inlineStr">
        <is>
          <t>Site Internet</t>
        </is>
      </c>
      <c r="B7" s="23" t="inlineStr">
        <is>
          <t>Site Internet</t>
        </is>
      </c>
      <c r="C7" s="23" t="inlineStr">
        <is>
          <t>Digital</t>
        </is>
      </c>
      <c r="D7" s="23" t="n">
        <v>4000</v>
      </c>
      <c r="E7" s="23" t="n">
        <v>-4000</v>
      </c>
      <c r="F7" s="23" t="n">
        <v>0</v>
      </c>
      <c r="G7" s="23" t="n">
        <v>0</v>
      </c>
      <c r="H7" s="23" t="n">
        <v>0</v>
      </c>
      <c r="I7" s="23" t="n">
        <v>0</v>
      </c>
      <c r="J7" s="23" t="n">
        <v>1000</v>
      </c>
      <c r="K7" s="23" t="n">
        <v>-1000</v>
      </c>
      <c r="L7" s="23" t="n">
        <v>0</v>
      </c>
      <c r="M7" s="23" t="n">
        <v>0</v>
      </c>
      <c r="N7" s="23" t="n">
        <v>0</v>
      </c>
      <c r="O7" s="23" t="n">
        <v>0</v>
      </c>
      <c r="P7" s="23" t="n">
        <v>1</v>
      </c>
      <c r="Q7" s="23" t="n">
        <v>1</v>
      </c>
      <c r="R7" s="23" t="n">
        <v>0</v>
      </c>
      <c r="S7" s="23" t="n">
        <v>0</v>
      </c>
      <c r="T7" s="23" t="n">
        <v>0</v>
      </c>
      <c r="U7" s="23" t="n">
        <v>0</v>
      </c>
      <c r="V7" s="23" t="n">
        <v>0</v>
      </c>
    </row>
    <row r="8" ht="15" customHeight="1" s="24">
      <c r="A8" s="23" t="inlineStr">
        <is>
          <t>RSE</t>
        </is>
      </c>
      <c r="B8" s="23" t="inlineStr">
        <is>
          <t>RSE</t>
        </is>
      </c>
      <c r="C8" s="23" t="inlineStr">
        <is>
          <t>Compliance</t>
        </is>
      </c>
      <c r="D8" s="23" t="n">
        <v>2000</v>
      </c>
      <c r="E8" s="23" t="n">
        <v>0</v>
      </c>
      <c r="F8" s="23" t="n">
        <v>2000</v>
      </c>
      <c r="G8" s="23" t="n">
        <v>0</v>
      </c>
      <c r="H8" s="23" t="n">
        <v>0</v>
      </c>
      <c r="I8" s="23" t="n">
        <v>0</v>
      </c>
      <c r="J8" s="23" t="n">
        <v>1000</v>
      </c>
      <c r="K8" s="23" t="n">
        <v>-1000</v>
      </c>
      <c r="L8" s="23" t="n">
        <v>0</v>
      </c>
      <c r="M8" s="23" t="n">
        <v>0</v>
      </c>
      <c r="N8" s="23" t="n">
        <v>0</v>
      </c>
      <c r="O8" s="23" t="n">
        <v>0</v>
      </c>
      <c r="P8" s="23" t="n">
        <v>1</v>
      </c>
      <c r="Q8" s="23" t="n">
        <v>1</v>
      </c>
      <c r="R8" s="23" t="n">
        <v>0</v>
      </c>
      <c r="S8" s="23" t="n">
        <v>0</v>
      </c>
      <c r="T8" s="23" t="n">
        <v>0</v>
      </c>
      <c r="U8" s="23" t="n">
        <v>0</v>
      </c>
      <c r="V8" s="23" t="n">
        <v>0</v>
      </c>
    </row>
    <row r="9" ht="15" customHeight="1" s="24">
      <c r="A9" s="23" t="inlineStr">
        <is>
          <t>R&amp;D</t>
        </is>
      </c>
      <c r="B9" s="23" t="inlineStr">
        <is>
          <t>R&amp;D</t>
        </is>
      </c>
      <c r="C9" s="23" t="inlineStr">
        <is>
          <t>Innovation</t>
        </is>
      </c>
      <c r="D9" s="23" t="n">
        <v>5000</v>
      </c>
      <c r="E9" s="23" t="n">
        <v>-5000</v>
      </c>
      <c r="F9" s="23" t="n">
        <v>0</v>
      </c>
      <c r="G9" s="23" t="n">
        <v>0</v>
      </c>
      <c r="H9" s="23" t="n">
        <v>0</v>
      </c>
      <c r="I9" s="23" t="n">
        <v>0</v>
      </c>
      <c r="J9" s="23" t="n">
        <v>2000</v>
      </c>
      <c r="K9" s="23" t="n">
        <v>0</v>
      </c>
      <c r="L9" s="23" t="n">
        <v>0</v>
      </c>
      <c r="M9" s="23" t="n">
        <v>0</v>
      </c>
      <c r="N9" s="23" t="n">
        <v>1000</v>
      </c>
      <c r="O9" s="23" t="n">
        <v>0</v>
      </c>
      <c r="P9" s="23" t="n">
        <v>2</v>
      </c>
      <c r="Q9" s="23" t="n">
        <v>1</v>
      </c>
      <c r="R9" s="23" t="n">
        <v>0</v>
      </c>
      <c r="S9" s="23" t="n">
        <v>0</v>
      </c>
      <c r="T9" s="23" t="n">
        <v>0</v>
      </c>
      <c r="U9" s="23" t="n">
        <v>0</v>
      </c>
      <c r="V9" s="23" t="n">
        <v>0</v>
      </c>
    </row>
    <row r="10" ht="15" customHeight="1" s="24">
      <c r="A10" s="23" t="inlineStr">
        <is>
          <t>Expansion</t>
        </is>
      </c>
      <c r="B10" s="23" t="inlineStr">
        <is>
          <t>Expansion</t>
        </is>
      </c>
      <c r="C10" s="23" t="inlineStr">
        <is>
          <t>Growth</t>
        </is>
      </c>
      <c r="D10" s="23" t="n">
        <v>8000</v>
      </c>
      <c r="E10" s="23" t="n">
        <v>-8000</v>
      </c>
      <c r="F10" s="23" t="n">
        <v>0</v>
      </c>
      <c r="G10" s="23" t="n">
        <v>0</v>
      </c>
      <c r="H10" s="23" t="n">
        <v>0</v>
      </c>
      <c r="I10" s="23" t="n">
        <v>0</v>
      </c>
      <c r="J10" s="23" t="n">
        <v>1000</v>
      </c>
      <c r="K10" s="23" t="n">
        <v>-1000</v>
      </c>
      <c r="L10" s="23" t="n">
        <v>0</v>
      </c>
      <c r="M10" s="23" t="n">
        <v>0</v>
      </c>
      <c r="N10" s="23" t="n">
        <v>0</v>
      </c>
      <c r="O10" s="23" t="n">
        <v>0</v>
      </c>
      <c r="P10" s="23" t="n">
        <v>3</v>
      </c>
      <c r="Q10" s="23" t="n">
        <v>1</v>
      </c>
      <c r="R10" s="23" t="n">
        <v>10</v>
      </c>
      <c r="S10" s="23" t="n">
        <v>0</v>
      </c>
      <c r="T10" s="23" t="n">
        <v>0</v>
      </c>
      <c r="U10" s="23" t="n">
        <v>0</v>
      </c>
      <c r="V10" s="23" t="n">
        <v>0</v>
      </c>
    </row>
    <row r="11" ht="15" customHeight="1" s="24">
      <c r="A11" s="23" t="inlineStr">
        <is>
          <t>Certification ISO</t>
        </is>
      </c>
      <c r="B11" s="23" t="inlineStr">
        <is>
          <t>Certification ISO</t>
        </is>
      </c>
      <c r="C11" s="23" t="inlineStr">
        <is>
          <t>Compliance</t>
        </is>
      </c>
      <c r="D11" s="23" t="n">
        <v>5000</v>
      </c>
      <c r="E11" s="23" t="n">
        <v>-5000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1000</v>
      </c>
      <c r="K11" s="23" t="n">
        <v>-1000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3</v>
      </c>
      <c r="Q11" s="23" t="n">
        <v>1</v>
      </c>
      <c r="R11" s="23" t="n">
        <v>0</v>
      </c>
      <c r="S11" s="23" t="n">
        <v>0</v>
      </c>
      <c r="T11" s="23" t="n">
        <v>0</v>
      </c>
      <c r="U11" s="23" t="n">
        <v>0</v>
      </c>
      <c r="V11" s="23" t="n">
        <v>0</v>
      </c>
    </row>
    <row r="12" ht="15" customHeight="1" s="24">
      <c r="A12" s="23" t="inlineStr">
        <is>
          <t>Application Mobile</t>
        </is>
      </c>
      <c r="B12" s="23" t="inlineStr">
        <is>
          <t>Application Mobile</t>
        </is>
      </c>
      <c r="C12" s="23" t="inlineStr">
        <is>
          <t>Digital</t>
        </is>
      </c>
      <c r="D12" s="23" t="n">
        <v>4000</v>
      </c>
      <c r="E12" s="23" t="n">
        <v>-4000</v>
      </c>
      <c r="F12" s="23" t="n">
        <v>0</v>
      </c>
      <c r="G12" s="23" t="n">
        <v>0</v>
      </c>
      <c r="H12" s="23" t="n">
        <v>0</v>
      </c>
      <c r="I12" s="23" t="n">
        <v>0</v>
      </c>
      <c r="J12" s="23" t="n">
        <v>1000</v>
      </c>
      <c r="K12" s="23" t="n">
        <v>-1000</v>
      </c>
      <c r="L12" s="23" t="n">
        <v>0</v>
      </c>
      <c r="M12" s="23" t="n">
        <v>0</v>
      </c>
      <c r="N12" s="23" t="n">
        <v>0</v>
      </c>
      <c r="O12" s="23" t="n">
        <v>0</v>
      </c>
      <c r="P12" s="23" t="n">
        <v>1</v>
      </c>
      <c r="Q12" s="23" t="n">
        <v>2</v>
      </c>
      <c r="R12" s="23" t="n">
        <v>0</v>
      </c>
      <c r="S12" s="23" t="n">
        <v>0</v>
      </c>
      <c r="T12" s="23" t="n">
        <v>0</v>
      </c>
      <c r="U12" s="23" t="n">
        <v>0</v>
      </c>
      <c r="V12" s="23" t="n">
        <v>0</v>
      </c>
    </row>
    <row r="13" ht="15" customHeight="1" s="24">
      <c r="A13" s="23" t="inlineStr">
        <is>
          <t>Prêt Bancaire</t>
        </is>
      </c>
      <c r="B13" s="23" t="inlineStr">
        <is>
          <t>Prêt Bancaire</t>
        </is>
      </c>
      <c r="C13" s="23" t="inlineStr">
        <is>
          <t>Finance</t>
        </is>
      </c>
      <c r="D13" s="23" t="n">
        <v>0</v>
      </c>
      <c r="E13" s="23" t="n">
        <v>5000</v>
      </c>
      <c r="F13" s="23" t="n">
        <v>5000</v>
      </c>
      <c r="G13" s="23" t="n">
        <v>0</v>
      </c>
      <c r="H13" s="23" t="n">
        <v>0</v>
      </c>
      <c r="I13" s="23" t="n">
        <v>0</v>
      </c>
      <c r="J13" s="23" t="n">
        <v>0</v>
      </c>
      <c r="K13" s="23" t="n">
        <v>-1000</v>
      </c>
      <c r="L13" s="23" t="n">
        <v>1000</v>
      </c>
      <c r="M13" s="23" t="n">
        <v>0</v>
      </c>
      <c r="N13" s="23" t="n">
        <v>0</v>
      </c>
      <c r="O13" s="23" t="n">
        <v>0</v>
      </c>
      <c r="P13" s="23" t="n">
        <v>0</v>
      </c>
      <c r="Q13" s="23" t="n">
        <v>0</v>
      </c>
      <c r="R13" s="23" t="n">
        <v>0</v>
      </c>
      <c r="S13" s="23" t="n">
        <v>0</v>
      </c>
      <c r="T13" s="23" t="n">
        <v>0</v>
      </c>
      <c r="U13" s="23" t="n">
        <v>0</v>
      </c>
      <c r="V13" s="23" t="n">
        <v>0</v>
      </c>
    </row>
    <row r="14" ht="15" customHeight="1" s="24">
      <c r="A14" s="23" t="inlineStr">
        <is>
          <t>Levée de Fonds</t>
        </is>
      </c>
      <c r="B14" s="23" t="inlineStr">
        <is>
          <t>Levée de Fonds</t>
        </is>
      </c>
      <c r="C14" s="23" t="inlineStr">
        <is>
          <t>Finance</t>
        </is>
      </c>
      <c r="D14" s="23" t="n">
        <v>0</v>
      </c>
      <c r="E14" s="23" t="n">
        <v>3000</v>
      </c>
      <c r="F14" s="23" t="n">
        <v>0</v>
      </c>
      <c r="G14" s="23" t="n">
        <v>6000</v>
      </c>
      <c r="H14" s="23" t="n">
        <v>0</v>
      </c>
      <c r="I14" s="23" t="n">
        <v>0</v>
      </c>
      <c r="J14" s="23" t="n">
        <v>0</v>
      </c>
      <c r="K14" s="23" t="n">
        <v>0</v>
      </c>
      <c r="L14" s="23" t="n">
        <v>0</v>
      </c>
      <c r="M14" s="23" t="n">
        <v>0</v>
      </c>
      <c r="N14" s="23" t="n">
        <v>0</v>
      </c>
      <c r="O14" s="23" t="n">
        <v>0</v>
      </c>
      <c r="P14" s="23" t="n">
        <v>0</v>
      </c>
      <c r="Q14" s="23" t="n">
        <v>0</v>
      </c>
      <c r="R14" s="23" t="n">
        <v>0</v>
      </c>
      <c r="S14" s="23" t="n">
        <v>0</v>
      </c>
      <c r="T14" s="23" t="n">
        <v>0</v>
      </c>
      <c r="U14" s="23" t="n">
        <v>0</v>
      </c>
      <c r="V14" s="23" t="n">
        <v>0</v>
      </c>
    </row>
    <row r="15" ht="15" customHeight="1" s="24">
      <c r="A15" s="23" t="inlineStr">
        <is>
          <t>Crédit-Bail</t>
        </is>
      </c>
      <c r="B15" s="23" t="inlineStr">
        <is>
          <t>Crédit-Bail</t>
        </is>
      </c>
      <c r="C15" s="23" t="inlineStr">
        <is>
          <t>Finance</t>
        </is>
      </c>
      <c r="D15" s="23" t="n">
        <v>6000</v>
      </c>
      <c r="E15" s="23" t="n">
        <v>0</v>
      </c>
      <c r="F15" s="23" t="n">
        <v>6000</v>
      </c>
      <c r="G15" s="23" t="n">
        <v>0</v>
      </c>
      <c r="H15" s="23" t="n">
        <v>0</v>
      </c>
      <c r="I15" s="23" t="n">
        <v>0</v>
      </c>
      <c r="J15" s="23" t="n">
        <v>2000</v>
      </c>
      <c r="K15" s="23" t="n">
        <v>-2000</v>
      </c>
      <c r="L15" s="23" t="n">
        <v>0</v>
      </c>
      <c r="M15" s="23" t="n">
        <v>0</v>
      </c>
      <c r="N15" s="23" t="n">
        <v>0</v>
      </c>
      <c r="O15" s="23" t="n">
        <v>0</v>
      </c>
      <c r="P15" s="23" t="n">
        <v>2</v>
      </c>
      <c r="Q15" s="23" t="n">
        <v>1</v>
      </c>
      <c r="R15" s="23" t="n">
        <v>6</v>
      </c>
      <c r="S15" s="23" t="n">
        <v>0</v>
      </c>
      <c r="T15" s="23" t="n">
        <v>0</v>
      </c>
      <c r="U15" s="23" t="n">
        <v>0</v>
      </c>
      <c r="V15" s="23" t="n">
        <v>0</v>
      </c>
    </row>
    <row r="16" ht="15" customHeight="1" s="24">
      <c r="A16" s="23" t="inlineStr">
        <is>
          <t>Crowdfunding</t>
        </is>
      </c>
      <c r="B16" s="23" t="inlineStr">
        <is>
          <t>Crowdfunding</t>
        </is>
      </c>
      <c r="C16" s="23" t="inlineStr">
        <is>
          <t>Finance</t>
        </is>
      </c>
      <c r="D16" s="23" t="n">
        <v>0</v>
      </c>
      <c r="E16" s="23" t="n">
        <v>4000</v>
      </c>
      <c r="F16" s="23" t="n">
        <v>0</v>
      </c>
      <c r="G16" s="23" t="n">
        <v>4000</v>
      </c>
      <c r="H16" s="23" t="n">
        <v>0</v>
      </c>
      <c r="I16" s="23" t="n">
        <v>0</v>
      </c>
      <c r="J16" s="23" t="n">
        <v>1000</v>
      </c>
      <c r="K16" s="23" t="n">
        <v>-1000</v>
      </c>
      <c r="L16" s="23" t="n">
        <v>0</v>
      </c>
      <c r="M16" s="23" t="n">
        <v>0</v>
      </c>
      <c r="N16" s="23" t="n">
        <v>0</v>
      </c>
      <c r="O16" s="23" t="n">
        <v>0</v>
      </c>
      <c r="P16" s="23" t="n">
        <v>0</v>
      </c>
      <c r="Q16" s="23" t="n">
        <v>0</v>
      </c>
      <c r="R16" s="23" t="n">
        <v>0</v>
      </c>
      <c r="S16" s="23" t="n">
        <v>0</v>
      </c>
      <c r="T16" s="23" t="n">
        <v>0</v>
      </c>
      <c r="U16" s="23" t="n">
        <v>0</v>
      </c>
      <c r="V16" s="23" t="n">
        <v>0</v>
      </c>
    </row>
    <row r="17" ht="15" customHeight="1" s="24">
      <c r="A17" s="23" t="inlineStr">
        <is>
          <t>Publicité</t>
        </is>
      </c>
      <c r="B17" s="23" t="inlineStr">
        <is>
          <t>Publicité</t>
        </is>
      </c>
      <c r="C17" s="23" t="inlineStr">
        <is>
          <t>Marketing</t>
        </is>
      </c>
      <c r="D17" s="23" t="n">
        <v>0</v>
      </c>
      <c r="E17" s="23" t="n">
        <v>-2000</v>
      </c>
      <c r="F17" s="23" t="n">
        <v>0</v>
      </c>
      <c r="G17" s="23" t="n">
        <v>0</v>
      </c>
      <c r="H17" s="23" t="n">
        <v>0</v>
      </c>
      <c r="I17" s="23" t="n">
        <v>0</v>
      </c>
      <c r="J17" s="23" t="n">
        <v>2000</v>
      </c>
      <c r="K17" s="23" t="n">
        <v>-2000</v>
      </c>
      <c r="L17" s="23" t="n">
        <v>0</v>
      </c>
      <c r="M17" s="23" t="n">
        <v>0</v>
      </c>
      <c r="N17" s="23" t="n">
        <v>0</v>
      </c>
      <c r="O17" s="23" t="n">
        <v>0</v>
      </c>
      <c r="P17" s="23" t="n">
        <v>1</v>
      </c>
      <c r="Q17" s="23" t="n">
        <v>2</v>
      </c>
      <c r="R17" s="23" t="n">
        <v>0</v>
      </c>
      <c r="S17" s="23" t="n">
        <v>0</v>
      </c>
      <c r="T17" s="23" t="n">
        <v>0</v>
      </c>
      <c r="U17" s="23" t="n">
        <v>0</v>
      </c>
      <c r="V17" s="23" t="n">
        <v>0</v>
      </c>
    </row>
    <row r="18" ht="15" customHeight="1" s="24">
      <c r="A18" s="23" t="inlineStr">
        <is>
          <t>Relance Clients</t>
        </is>
      </c>
      <c r="B18" s="23" t="inlineStr">
        <is>
          <t>Relance Clients</t>
        </is>
      </c>
      <c r="C18" s="23" t="inlineStr">
        <is>
          <t>Commercial</t>
        </is>
      </c>
      <c r="D18" s="23" t="n">
        <v>0</v>
      </c>
      <c r="E18" s="23" t="n">
        <v>-1000</v>
      </c>
      <c r="F18" s="23" t="n">
        <v>0</v>
      </c>
      <c r="G18" s="23" t="n">
        <v>0</v>
      </c>
      <c r="H18" s="23" t="n">
        <v>0</v>
      </c>
      <c r="I18" s="23" t="n">
        <v>1000</v>
      </c>
      <c r="J18" s="23" t="n">
        <v>0</v>
      </c>
      <c r="K18" s="23" t="n">
        <v>0</v>
      </c>
      <c r="L18" s="23" t="n">
        <v>0</v>
      </c>
      <c r="M18" s="23" t="n">
        <v>0</v>
      </c>
      <c r="N18" s="23" t="n">
        <v>0</v>
      </c>
      <c r="O18" s="23" t="n">
        <v>0</v>
      </c>
      <c r="P18" s="23" t="n">
        <v>0</v>
      </c>
      <c r="Q18" s="23" t="n">
        <v>0</v>
      </c>
      <c r="R18" s="23" t="n">
        <v>0</v>
      </c>
      <c r="S18" s="23" t="n">
        <v>0</v>
      </c>
      <c r="T18" s="23" t="n">
        <v>0</v>
      </c>
      <c r="U18" s="23" t="n">
        <v>0</v>
      </c>
      <c r="V18" s="23" t="n">
        <v>0</v>
      </c>
    </row>
    <row r="19" ht="15" customHeight="1" s="24">
      <c r="A19" s="23" t="inlineStr">
        <is>
          <t>Formation</t>
        </is>
      </c>
      <c r="B19" s="23" t="inlineStr">
        <is>
          <t>Formation</t>
        </is>
      </c>
      <c r="C19" s="23" t="inlineStr">
        <is>
          <t>HR</t>
        </is>
      </c>
      <c r="D19" s="23" t="n">
        <v>0</v>
      </c>
      <c r="E19" s="23" t="n">
        <v>-1000</v>
      </c>
      <c r="F19" s="23" t="n">
        <v>0</v>
      </c>
      <c r="G19" s="23" t="n">
        <v>0</v>
      </c>
      <c r="H19" s="23" t="n">
        <v>0</v>
      </c>
      <c r="I19" s="23" t="n">
        <v>1000</v>
      </c>
      <c r="J19" s="23" t="n">
        <v>0</v>
      </c>
      <c r="K19" s="23" t="n">
        <v>0</v>
      </c>
      <c r="L19" s="23" t="n">
        <v>0</v>
      </c>
      <c r="M19" s="23" t="n">
        <v>0</v>
      </c>
      <c r="N19" s="23" t="n">
        <v>0</v>
      </c>
      <c r="O19" s="23" t="n">
        <v>0</v>
      </c>
      <c r="P19" s="23" t="n">
        <v>3</v>
      </c>
      <c r="Q19" s="23" t="n">
        <v>1</v>
      </c>
      <c r="R19" s="23" t="n">
        <v>0</v>
      </c>
      <c r="S19" s="23" t="n">
        <v>0</v>
      </c>
      <c r="T19" s="23" t="n">
        <v>0</v>
      </c>
      <c r="U19" s="23" t="n">
        <v>0</v>
      </c>
      <c r="V19" s="23" t="n">
        <v>0</v>
      </c>
    </row>
    <row r="20" ht="15" customHeight="1" s="24">
      <c r="A20" s="23" t="inlineStr">
        <is>
          <t>Programme Fidélité</t>
        </is>
      </c>
      <c r="B20" s="23" t="inlineStr">
        <is>
          <t>Programme Fidélité</t>
        </is>
      </c>
      <c r="C20" s="23" t="inlineStr">
        <is>
          <t>Marketing</t>
        </is>
      </c>
      <c r="D20" s="23" t="n">
        <v>3000</v>
      </c>
      <c r="E20" s="23" t="n">
        <v>-3000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1000</v>
      </c>
      <c r="K20" s="23" t="n">
        <v>-1000</v>
      </c>
      <c r="L20" s="23" t="n">
        <v>0</v>
      </c>
      <c r="M20" s="23" t="n">
        <v>0</v>
      </c>
      <c r="N20" s="23" t="n">
        <v>0</v>
      </c>
      <c r="O20" s="23" t="n">
        <v>0</v>
      </c>
      <c r="P20" s="23" t="n">
        <v>1</v>
      </c>
      <c r="Q20" s="23" t="n">
        <v>1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</row>
    <row r="21" ht="15" customHeight="1" s="24">
      <c r="A21" s="23" t="inlineStr">
        <is>
          <t>Export International</t>
        </is>
      </c>
      <c r="B21" s="23" t="inlineStr">
        <is>
          <t>Export International</t>
        </is>
      </c>
      <c r="C21" s="23" t="inlineStr">
        <is>
          <t>Growth</t>
        </is>
      </c>
      <c r="D21" s="23" t="n">
        <v>5000</v>
      </c>
      <c r="E21" s="23" t="n">
        <v>-5000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2000</v>
      </c>
      <c r="K21" s="23" t="n">
        <v>-2000</v>
      </c>
      <c r="L21" s="23" t="n">
        <v>0</v>
      </c>
      <c r="M21" s="23" t="n">
        <v>0</v>
      </c>
      <c r="N21" s="23" t="n">
        <v>0</v>
      </c>
      <c r="O21" s="23" t="n">
        <v>0</v>
      </c>
      <c r="P21" s="23" t="n">
        <v>3</v>
      </c>
      <c r="Q21" s="23" t="n">
        <v>1</v>
      </c>
      <c r="R21" s="23" t="n">
        <v>0</v>
      </c>
      <c r="S21" s="23" t="n">
        <v>0</v>
      </c>
      <c r="T21" s="23" t="n">
        <v>0</v>
      </c>
      <c r="U21" s="23" t="n">
        <v>0</v>
      </c>
      <c r="V21" s="23" t="n">
        <v>0</v>
      </c>
    </row>
    <row r="22" ht="15" customHeight="1" s="24">
      <c r="A22" s="23" t="inlineStr">
        <is>
          <t>Partenariat Commercial</t>
        </is>
      </c>
      <c r="B22" s="23" t="inlineStr">
        <is>
          <t>Partenariat Commercial</t>
        </is>
      </c>
      <c r="C22" s="23" t="inlineStr">
        <is>
          <t>Commercial</t>
        </is>
      </c>
      <c r="D22" s="23" t="n">
        <v>2000</v>
      </c>
      <c r="E22" s="23" t="n">
        <v>-2000</v>
      </c>
      <c r="F22" s="23" t="n">
        <v>0</v>
      </c>
      <c r="G22" s="23" t="n">
        <v>0</v>
      </c>
      <c r="H22" s="23" t="n">
        <v>0</v>
      </c>
      <c r="I22" s="23" t="n">
        <v>0</v>
      </c>
      <c r="J22" s="23" t="n">
        <v>1000</v>
      </c>
      <c r="K22" s="23" t="n">
        <v>-1000</v>
      </c>
      <c r="L22" s="23" t="n">
        <v>0</v>
      </c>
      <c r="M22" s="23" t="n">
        <v>0</v>
      </c>
      <c r="N22" s="23" t="n">
        <v>0</v>
      </c>
      <c r="O22" s="23" t="n">
        <v>0</v>
      </c>
      <c r="P22" s="23" t="n">
        <v>2</v>
      </c>
      <c r="Q22" s="23" t="n">
        <v>1</v>
      </c>
      <c r="R22" s="23" t="n">
        <v>0</v>
      </c>
      <c r="S22" s="23" t="n">
        <v>0</v>
      </c>
      <c r="T22" s="23" t="n">
        <v>0</v>
      </c>
      <c r="U22" s="23" t="n">
        <v>0</v>
      </c>
      <c r="V22" s="23" t="n">
        <v>0</v>
      </c>
    </row>
    <row r="23" ht="15" customHeight="1" s="24">
      <c r="A23" s="23" t="inlineStr">
        <is>
          <t>Affacturage</t>
        </is>
      </c>
      <c r="B23" s="23" t="inlineStr">
        <is>
          <t>Affacturage</t>
        </is>
      </c>
      <c r="C23" s="23" t="inlineStr">
        <is>
          <t>Finance</t>
        </is>
      </c>
      <c r="D23" s="23" t="n">
        <v>0</v>
      </c>
      <c r="E23" s="23" t="n">
        <v>-2000</v>
      </c>
      <c r="F23" s="23" t="n">
        <v>0</v>
      </c>
      <c r="G23" s="23" t="n">
        <v>0</v>
      </c>
      <c r="H23" s="23" t="n">
        <v>0</v>
      </c>
      <c r="I23" s="23" t="n">
        <v>0</v>
      </c>
      <c r="J23" s="23" t="n">
        <v>2000</v>
      </c>
      <c r="K23" s="23" t="n">
        <v>-2000</v>
      </c>
      <c r="L23" s="23" t="n">
        <v>0</v>
      </c>
      <c r="M23" s="23" t="n">
        <v>0</v>
      </c>
      <c r="N23" s="23" t="n">
        <v>0</v>
      </c>
      <c r="O23" s="23" t="n">
        <v>0</v>
      </c>
      <c r="P23" s="23" t="n">
        <v>0</v>
      </c>
      <c r="Q23" s="23" t="n">
        <v>0</v>
      </c>
      <c r="R23" s="23" t="n">
        <v>0</v>
      </c>
      <c r="S23" s="23" t="n">
        <v>0</v>
      </c>
      <c r="T23" s="23" t="n">
        <v>0</v>
      </c>
      <c r="U23" s="23" t="n">
        <v>0</v>
      </c>
      <c r="V23" s="23" t="n">
        <v>0</v>
      </c>
    </row>
    <row r="24" ht="15" customHeight="1" s="24">
      <c r="A24" s="23" t="inlineStr">
        <is>
          <t>Contrat Maintenance</t>
        </is>
      </c>
      <c r="B24" s="23" t="inlineStr">
        <is>
          <t>Contrat Maintenance</t>
        </is>
      </c>
      <c r="C24" s="23" t="inlineStr">
        <is>
          <t>Commercial</t>
        </is>
      </c>
      <c r="D24" s="23" t="n">
        <v>0</v>
      </c>
      <c r="E24" s="23" t="n">
        <v>-1000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1000</v>
      </c>
      <c r="K24" s="23" t="n">
        <v>-1000</v>
      </c>
      <c r="L24" s="23" t="n">
        <v>0</v>
      </c>
      <c r="M24" s="23" t="n">
        <v>0</v>
      </c>
      <c r="N24" s="23" t="n">
        <v>0</v>
      </c>
      <c r="O24" s="23" t="n">
        <v>0</v>
      </c>
      <c r="P24" s="23" t="n">
        <v>0</v>
      </c>
      <c r="Q24" s="23" t="n">
        <v>0</v>
      </c>
      <c r="R24" s="23" t="n">
        <v>0</v>
      </c>
      <c r="S24" s="23" t="n">
        <v>0</v>
      </c>
      <c r="T24" s="23" t="n">
        <v>0</v>
      </c>
      <c r="U24" s="23" t="n">
        <v>0</v>
      </c>
      <c r="V24" s="23" t="n">
        <v>0</v>
      </c>
    </row>
    <row r="25" ht="15" customHeight="1" s="24">
      <c r="A25" s="23" t="inlineStr">
        <is>
          <t>Assurance Prévoyance</t>
        </is>
      </c>
      <c r="B25" s="23" t="inlineStr">
        <is>
          <t>Assurance Prévoyance</t>
        </is>
      </c>
      <c r="C25" s="23" t="inlineStr">
        <is>
          <t>Compliance</t>
        </is>
      </c>
      <c r="D25" s="23" t="n">
        <v>2000</v>
      </c>
      <c r="E25" s="23" t="n">
        <v>-2000</v>
      </c>
      <c r="F25" s="23" t="n">
        <v>0</v>
      </c>
      <c r="G25" s="23" t="n">
        <v>0</v>
      </c>
      <c r="H25" s="23" t="n">
        <v>0</v>
      </c>
      <c r="I25" s="23" t="n">
        <v>0</v>
      </c>
      <c r="J25" s="23" t="n">
        <v>1000</v>
      </c>
      <c r="K25" s="23" t="n">
        <v>-1000</v>
      </c>
      <c r="L25" s="23" t="n">
        <v>0</v>
      </c>
      <c r="M25" s="23" t="n">
        <v>0</v>
      </c>
      <c r="N25" s="23" t="n">
        <v>0</v>
      </c>
      <c r="O25" s="23" t="n">
        <v>0</v>
      </c>
      <c r="P25" s="23" t="n">
        <v>0</v>
      </c>
      <c r="Q25" s="23" t="n">
        <v>0</v>
      </c>
      <c r="R25" s="23" t="n">
        <v>0</v>
      </c>
      <c r="S25" s="23" t="n">
        <v>0</v>
      </c>
      <c r="T25" s="23" t="n">
        <v>0</v>
      </c>
      <c r="U25" s="23" t="n">
        <v>0</v>
      </c>
      <c r="V25" s="23" t="n">
        <v>0</v>
      </c>
    </row>
    <row r="26" ht="15" customHeight="1" s="24">
      <c r="A26" s="23" t="inlineStr">
        <is>
          <t>Mutuelle Collective</t>
        </is>
      </c>
      <c r="B26" s="23" t="inlineStr">
        <is>
          <t>Mutuelle Collective</t>
        </is>
      </c>
      <c r="C26" s="23" t="inlineStr">
        <is>
          <t>HR</t>
        </is>
      </c>
      <c r="D26" s="23" t="n">
        <v>2000</v>
      </c>
      <c r="E26" s="23" t="n">
        <v>-2000</v>
      </c>
      <c r="F26" s="23" t="n">
        <v>0</v>
      </c>
      <c r="G26" s="23" t="n">
        <v>0</v>
      </c>
      <c r="H26" s="23" t="n">
        <v>0</v>
      </c>
      <c r="I26" s="23" t="n">
        <v>0</v>
      </c>
      <c r="J26" s="23" t="n">
        <v>0</v>
      </c>
      <c r="K26" s="23" t="n">
        <v>0</v>
      </c>
      <c r="L26" s="23" t="n">
        <v>0</v>
      </c>
      <c r="M26" s="23" t="n">
        <v>1000</v>
      </c>
      <c r="N26" s="23" t="n">
        <v>0</v>
      </c>
      <c r="O26" s="23" t="n">
        <v>0</v>
      </c>
      <c r="P26" s="23" t="n">
        <v>0</v>
      </c>
      <c r="Q26" s="23" t="n">
        <v>0</v>
      </c>
      <c r="R26" s="23" t="n">
        <v>0</v>
      </c>
      <c r="S26" s="23" t="n">
        <v>0</v>
      </c>
      <c r="T26" s="23" t="n">
        <v>0</v>
      </c>
      <c r="U26" s="23" t="n">
        <v>0</v>
      </c>
      <c r="V26" s="23" t="n">
        <v>0</v>
      </c>
    </row>
    <row r="27" ht="15" customHeight="1" s="24">
      <c r="A27" s="23" t="inlineStr">
        <is>
          <t>Cybersécurité</t>
        </is>
      </c>
      <c r="B27" s="23" t="inlineStr">
        <is>
          <t>Cybersécurité</t>
        </is>
      </c>
      <c r="C27" s="23" t="inlineStr">
        <is>
          <t>IT</t>
        </is>
      </c>
      <c r="D27" s="23" t="n">
        <v>3000</v>
      </c>
      <c r="E27" s="23" t="n">
        <v>-3000</v>
      </c>
      <c r="F27" s="23" t="n">
        <v>0</v>
      </c>
      <c r="G27" s="23" t="n">
        <v>0</v>
      </c>
      <c r="H27" s="23" t="n">
        <v>0</v>
      </c>
      <c r="I27" s="23" t="n">
        <v>0</v>
      </c>
      <c r="J27" s="23" t="n">
        <v>1000</v>
      </c>
      <c r="K27" s="23" t="n">
        <v>-1000</v>
      </c>
      <c r="L27" s="23" t="n">
        <v>0</v>
      </c>
      <c r="M27" s="23" t="n">
        <v>0</v>
      </c>
      <c r="N27" s="23" t="n">
        <v>0</v>
      </c>
      <c r="O27" s="23" t="n">
        <v>0</v>
      </c>
      <c r="P27" s="23" t="n">
        <v>0</v>
      </c>
      <c r="Q27" s="23" t="n">
        <v>0</v>
      </c>
      <c r="R27" s="23" t="n">
        <v>0</v>
      </c>
      <c r="S27" s="23" t="n">
        <v>0</v>
      </c>
      <c r="T27" s="23" t="n">
        <v>0</v>
      </c>
      <c r="U27" s="23" t="n">
        <v>0</v>
      </c>
      <c r="V27" s="23" t="n">
        <v>0</v>
      </c>
    </row>
    <row r="28" ht="15" customHeight="1" s="24">
      <c r="A28" s="23" t="inlineStr">
        <is>
          <t>Fourgon Réfrigéré</t>
        </is>
      </c>
      <c r="B28" s="23" t="inlineStr">
        <is>
          <t>Fourgon Réfrigéré</t>
        </is>
      </c>
      <c r="C28" s="23" t="inlineStr">
        <is>
          <t>Transport</t>
        </is>
      </c>
      <c r="D28" s="23" t="n">
        <v>6000</v>
      </c>
      <c r="E28" s="23" t="n">
        <v>-6000</v>
      </c>
      <c r="F28" s="23" t="n">
        <v>0</v>
      </c>
      <c r="G28" s="23" t="n">
        <v>0</v>
      </c>
      <c r="H28" s="23" t="n">
        <v>0</v>
      </c>
      <c r="I28" s="23" t="n">
        <v>0</v>
      </c>
      <c r="J28" s="23" t="n">
        <v>2000</v>
      </c>
      <c r="K28" s="23" t="n">
        <v>-2000</v>
      </c>
      <c r="L28" s="23" t="n">
        <v>0</v>
      </c>
      <c r="M28" s="23" t="n">
        <v>0</v>
      </c>
      <c r="N28" s="23" t="n">
        <v>0</v>
      </c>
      <c r="O28" s="23" t="n">
        <v>0</v>
      </c>
      <c r="P28" s="23" t="n">
        <v>2</v>
      </c>
      <c r="Q28" s="23" t="n">
        <v>1</v>
      </c>
      <c r="R28" s="23" t="n">
        <v>5</v>
      </c>
      <c r="S28" s="23" t="n">
        <v>0</v>
      </c>
      <c r="T28" s="23" t="n">
        <v>0</v>
      </c>
      <c r="U28" s="23" t="n">
        <v>0</v>
      </c>
      <c r="V28" s="23" t="n">
        <v>0</v>
      </c>
    </row>
    <row r="29" ht="15" customHeight="1" s="24">
      <c r="A29" s="23" t="inlineStr">
        <is>
          <t>Vélo Cargo</t>
        </is>
      </c>
      <c r="B29" s="23" t="inlineStr">
        <is>
          <t>Vélo Cargo</t>
        </is>
      </c>
      <c r="C29" s="23" t="inlineStr">
        <is>
          <t>Transport</t>
        </is>
      </c>
      <c r="D29" s="23" t="n">
        <v>3000</v>
      </c>
      <c r="E29" s="23" t="n">
        <v>-3000</v>
      </c>
      <c r="F29" s="23" t="n">
        <v>0</v>
      </c>
      <c r="G29" s="23" t="n">
        <v>0</v>
      </c>
      <c r="H29" s="23" t="n">
        <v>0</v>
      </c>
      <c r="I29" s="23" t="n">
        <v>0</v>
      </c>
      <c r="J29" s="23" t="n">
        <v>0</v>
      </c>
      <c r="K29" s="23" t="n">
        <v>0</v>
      </c>
      <c r="L29" s="23" t="n">
        <v>0</v>
      </c>
      <c r="M29" s="23" t="n">
        <v>0</v>
      </c>
      <c r="N29" s="23" t="n">
        <v>0</v>
      </c>
      <c r="O29" s="23" t="n">
        <v>0</v>
      </c>
      <c r="P29" s="23" t="n">
        <v>1</v>
      </c>
      <c r="Q29" s="23" t="n">
        <v>1</v>
      </c>
      <c r="R29" s="23" t="n">
        <v>3</v>
      </c>
      <c r="S29" s="23" t="n">
        <v>0</v>
      </c>
      <c r="T29" s="23" t="n">
        <v>0</v>
      </c>
      <c r="U29" s="23" t="n">
        <v>0</v>
      </c>
      <c r="V29" s="23" t="n">
        <v>0</v>
      </c>
    </row>
    <row r="30" ht="15" customHeight="1" s="24">
      <c r="A30" s="23" t="inlineStr">
        <is>
          <t>ERP</t>
        </is>
      </c>
      <c r="B30" s="23" t="inlineStr">
        <is>
          <t>ERP</t>
        </is>
      </c>
      <c r="C30" s="23" t="inlineStr">
        <is>
          <t>IT</t>
        </is>
      </c>
      <c r="D30" s="23" t="n">
        <v>5000</v>
      </c>
      <c r="E30" s="23" t="n">
        <v>-5000</v>
      </c>
      <c r="F30" s="23" t="n">
        <v>0</v>
      </c>
      <c r="G30" s="23" t="n">
        <v>0</v>
      </c>
      <c r="H30" s="23" t="n">
        <v>0</v>
      </c>
      <c r="I30" s="23" t="n">
        <v>0</v>
      </c>
      <c r="J30" s="23" t="n">
        <v>1000</v>
      </c>
      <c r="K30" s="23" t="n">
        <v>-1000</v>
      </c>
      <c r="L30" s="23" t="n">
        <v>0</v>
      </c>
      <c r="M30" s="23" t="n">
        <v>0</v>
      </c>
      <c r="N30" s="23" t="n">
        <v>0</v>
      </c>
      <c r="O30" s="23" t="n">
        <v>0</v>
      </c>
      <c r="P30" s="23" t="n">
        <v>3</v>
      </c>
      <c r="Q30" s="23" t="n">
        <v>1</v>
      </c>
      <c r="R30" s="23" t="n">
        <v>0</v>
      </c>
      <c r="S30" s="23" t="n">
        <v>0</v>
      </c>
      <c r="T30" s="23" t="n">
        <v>0</v>
      </c>
      <c r="U30" s="23" t="n">
        <v>0</v>
      </c>
      <c r="V30" s="23" t="n">
        <v>0</v>
      </c>
    </row>
    <row r="31" ht="15" customHeight="1" s="24">
      <c r="A31" s="23" t="inlineStr">
        <is>
          <t>Marketplace</t>
        </is>
      </c>
      <c r="B31" s="23" t="inlineStr">
        <is>
          <t>Marketplace</t>
        </is>
      </c>
      <c r="C31" s="23" t="inlineStr">
        <is>
          <t>Digital</t>
        </is>
      </c>
      <c r="D31" s="23" t="n">
        <v>4000</v>
      </c>
      <c r="E31" s="23" t="n">
        <v>-4000</v>
      </c>
      <c r="F31" s="23" t="n">
        <v>0</v>
      </c>
      <c r="G31" s="23" t="n">
        <v>0</v>
      </c>
      <c r="H31" s="23" t="n">
        <v>0</v>
      </c>
      <c r="I31" s="23" t="n">
        <v>0</v>
      </c>
      <c r="J31" s="23" t="n">
        <v>1000</v>
      </c>
      <c r="K31" s="23" t="n">
        <v>-1000</v>
      </c>
      <c r="L31" s="23" t="n">
        <v>0</v>
      </c>
      <c r="M31" s="23" t="n">
        <v>0</v>
      </c>
      <c r="N31" s="23" t="n">
        <v>0</v>
      </c>
      <c r="O31" s="23" t="n">
        <v>0</v>
      </c>
      <c r="P31" s="23" t="n">
        <v>1</v>
      </c>
      <c r="Q31" s="23" t="n">
        <v>2</v>
      </c>
      <c r="R31" s="23" t="n">
        <v>0</v>
      </c>
      <c r="S31" s="23" t="n">
        <v>0</v>
      </c>
      <c r="T31" s="23" t="n">
        <v>0</v>
      </c>
      <c r="U31" s="23" t="n">
        <v>0</v>
      </c>
      <c r="V31" s="23" t="n">
        <v>0</v>
      </c>
    </row>
    <row r="32" ht="15" customHeight="1" s="24">
      <c r="A32" s="23" t="inlineStr">
        <is>
          <t>Entrepôt Automatisé</t>
        </is>
      </c>
      <c r="B32" s="23" t="inlineStr">
        <is>
          <t>Entrepôt Automatisé</t>
        </is>
      </c>
      <c r="C32" s="23" t="inlineStr">
        <is>
          <t>Logistics</t>
        </is>
      </c>
      <c r="D32" s="23" t="n">
        <v>8000</v>
      </c>
      <c r="E32" s="23" t="n">
        <v>-8000</v>
      </c>
      <c r="F32" s="23" t="n">
        <v>0</v>
      </c>
      <c r="G32" s="23" t="n">
        <v>0</v>
      </c>
      <c r="H32" s="23" t="n">
        <v>0</v>
      </c>
      <c r="I32" s="23" t="n">
        <v>0</v>
      </c>
      <c r="J32" s="23" t="n">
        <v>1000</v>
      </c>
      <c r="K32" s="23" t="n">
        <v>-1000</v>
      </c>
      <c r="L32" s="23" t="n">
        <v>0</v>
      </c>
      <c r="M32" s="23" t="n">
        <v>0</v>
      </c>
      <c r="N32" s="23" t="n">
        <v>0</v>
      </c>
      <c r="O32" s="23" t="n">
        <v>0</v>
      </c>
      <c r="P32" s="23" t="n">
        <v>3</v>
      </c>
      <c r="Q32" s="23" t="n">
        <v>1</v>
      </c>
      <c r="R32" s="23" t="n">
        <v>10</v>
      </c>
      <c r="S32" s="23" t="n">
        <v>0</v>
      </c>
      <c r="T32" s="23" t="n">
        <v>0</v>
      </c>
      <c r="U32" s="23" t="n">
        <v>0</v>
      </c>
      <c r="V32" s="23" t="n">
        <v>0</v>
      </c>
    </row>
    <row r="33" ht="15" customHeight="1" s="24">
      <c r="A33" s="23" t="inlineStr">
        <is>
          <t>Label Qualité</t>
        </is>
      </c>
      <c r="B33" s="23" t="inlineStr">
        <is>
          <t>Label Qualité</t>
        </is>
      </c>
      <c r="C33" s="23" t="inlineStr">
        <is>
          <t>Compliance</t>
        </is>
      </c>
      <c r="D33" s="23" t="n">
        <v>4000</v>
      </c>
      <c r="E33" s="23" t="n">
        <v>-4000</v>
      </c>
      <c r="F33" s="23" t="n">
        <v>0</v>
      </c>
      <c r="G33" s="23" t="n">
        <v>0</v>
      </c>
      <c r="H33" s="23" t="n">
        <v>0</v>
      </c>
      <c r="I33" s="23" t="n">
        <v>0</v>
      </c>
      <c r="J33" s="23" t="n">
        <v>1000</v>
      </c>
      <c r="K33" s="23" t="n">
        <v>-1000</v>
      </c>
      <c r="L33" s="23" t="n">
        <v>0</v>
      </c>
      <c r="M33" s="23" t="n">
        <v>0</v>
      </c>
      <c r="N33" s="23" t="n">
        <v>0</v>
      </c>
      <c r="O33" s="23" t="n">
        <v>0</v>
      </c>
      <c r="P33" s="23" t="n">
        <v>2</v>
      </c>
      <c r="Q33" s="23" t="n">
        <v>1</v>
      </c>
      <c r="R33" s="23" t="n">
        <v>0</v>
      </c>
      <c r="S33" s="23" t="n">
        <v>0</v>
      </c>
      <c r="T33" s="23" t="n">
        <v>0</v>
      </c>
      <c r="U33" s="23" t="n">
        <v>0</v>
      </c>
      <c r="V33" s="23" t="n">
        <v>0</v>
      </c>
    </row>
    <row r="34" ht="15" customHeight="1" s="24">
      <c r="A34" s="23" t="inlineStr">
        <is>
          <t>Achat d'Urgence</t>
        </is>
      </c>
      <c r="B34" s="23" t="inlineStr">
        <is>
          <t>Achat d'Urgence</t>
        </is>
      </c>
      <c r="C34" s="23" t="inlineStr">
        <is>
          <t>Tactique</t>
        </is>
      </c>
      <c r="D34" s="23" t="n">
        <v>0</v>
      </c>
      <c r="E34" s="23" t="n">
        <v>-7000</v>
      </c>
      <c r="F34" s="23" t="n">
        <v>0</v>
      </c>
      <c r="G34" s="23" t="n">
        <v>0</v>
      </c>
      <c r="H34" s="23" t="n">
        <v>0</v>
      </c>
      <c r="I34" s="23" t="n">
        <v>0</v>
      </c>
      <c r="J34" s="23" t="n">
        <v>0</v>
      </c>
      <c r="K34" s="23" t="n">
        <v>0</v>
      </c>
      <c r="L34" s="23" t="n">
        <v>0</v>
      </c>
      <c r="M34" s="23" t="n">
        <v>0</v>
      </c>
      <c r="N34" s="23" t="n">
        <v>0</v>
      </c>
      <c r="O34" s="23" t="n">
        <v>0</v>
      </c>
      <c r="P34" s="23" t="n">
        <v>0</v>
      </c>
      <c r="Q34" s="23" t="n">
        <v>0</v>
      </c>
      <c r="R34" s="23" t="n">
        <v>0</v>
      </c>
      <c r="S34" s="23" t="n">
        <v>5000</v>
      </c>
      <c r="T34" s="23" t="n">
        <v>0</v>
      </c>
      <c r="U34" s="23" t="n">
        <v>0</v>
      </c>
      <c r="V34" s="23" t="n">
        <v>0</v>
      </c>
    </row>
    <row r="35" ht="15" customHeight="1" s="24">
      <c r="A35" s="23" t="inlineStr">
        <is>
          <t>Maintenance Préventive</t>
        </is>
      </c>
      <c r="B35" s="23" t="inlineStr">
        <is>
          <t>Maintenance Préventive</t>
        </is>
      </c>
      <c r="C35" s="23" t="inlineStr">
        <is>
          <t>Service</t>
        </is>
      </c>
      <c r="D35" s="23" t="n">
        <v>0</v>
      </c>
      <c r="E35" s="23" t="n">
        <v>-2000</v>
      </c>
      <c r="F35" s="23" t="n">
        <v>0</v>
      </c>
      <c r="G35" s="23" t="n">
        <v>0</v>
      </c>
      <c r="H35" s="23" t="n">
        <v>0</v>
      </c>
      <c r="I35" s="23" t="n">
        <v>0</v>
      </c>
      <c r="J35" s="23" t="n">
        <v>1000</v>
      </c>
      <c r="K35" s="23" t="n">
        <v>-1000</v>
      </c>
      <c r="L35" s="23" t="n">
        <v>0</v>
      </c>
      <c r="M35" s="23" t="n">
        <v>0</v>
      </c>
      <c r="N35" s="23" t="n">
        <v>0</v>
      </c>
      <c r="O35" s="23" t="n">
        <v>0</v>
      </c>
      <c r="P35" s="23" t="n">
        <v>0</v>
      </c>
      <c r="Q35" s="23" t="n">
        <v>0</v>
      </c>
      <c r="R35" s="23" t="n">
        <v>0</v>
      </c>
      <c r="S35" s="23" t="n">
        <v>0</v>
      </c>
      <c r="T35" s="23" t="n">
        <v>0</v>
      </c>
      <c r="U35" s="23" t="n">
        <v>-1000</v>
      </c>
      <c r="V35" s="23" t="n">
        <v>0</v>
      </c>
    </row>
    <row r="36" ht="15" customHeight="1" s="24">
      <c r="A36" s="23" t="inlineStr">
        <is>
          <t>Révision Générale</t>
        </is>
      </c>
      <c r="B36" s="23" t="inlineStr">
        <is>
          <t>Révision Générale</t>
        </is>
      </c>
      <c r="C36" s="23" t="inlineStr">
        <is>
          <t>Investissement</t>
        </is>
      </c>
      <c r="D36" s="23" t="n">
        <v>4000</v>
      </c>
      <c r="E36" s="23" t="n">
        <v>-4000</v>
      </c>
      <c r="F36" s="23" t="n">
        <v>0</v>
      </c>
      <c r="G36" s="23" t="n">
        <v>0</v>
      </c>
      <c r="H36" s="23" t="n">
        <v>0</v>
      </c>
      <c r="I36" s="23" t="n">
        <v>0</v>
      </c>
      <c r="J36" s="23" t="n">
        <v>0</v>
      </c>
      <c r="K36" s="23" t="n">
        <v>0</v>
      </c>
      <c r="L36" s="23" t="n">
        <v>0</v>
      </c>
      <c r="M36" s="23" t="n">
        <v>0</v>
      </c>
      <c r="N36" s="23" t="n">
        <v>0</v>
      </c>
      <c r="O36" s="23" t="n">
        <v>0</v>
      </c>
      <c r="P36" s="23" t="n">
        <v>0</v>
      </c>
      <c r="Q36" s="23" t="n">
        <v>0</v>
      </c>
      <c r="R36" s="23" t="n">
        <v>0</v>
      </c>
      <c r="S36" s="23" t="n">
        <v>0</v>
      </c>
      <c r="T36" s="23" t="n">
        <v>0</v>
      </c>
      <c r="U36" s="23" t="n">
        <v>0</v>
      </c>
      <c r="V36" s="23" t="n">
        <v>0</v>
      </c>
    </row>
    <row r="37" ht="15" customHeight="1" s="24">
      <c r="A37" s="23" t="inlineStr">
        <is>
          <t>Optimisation Lean</t>
        </is>
      </c>
      <c r="B37" s="23" t="inlineStr">
        <is>
          <t>Optimisation Lean</t>
        </is>
      </c>
      <c r="C37" s="23" t="inlineStr">
        <is>
          <t>Innovation</t>
        </is>
      </c>
      <c r="D37" s="23" t="n">
        <v>3000</v>
      </c>
      <c r="E37" s="23" t="n">
        <v>-3000</v>
      </c>
      <c r="F37" s="23" t="n">
        <v>0</v>
      </c>
      <c r="G37" s="23" t="n">
        <v>0</v>
      </c>
      <c r="H37" s="23" t="n">
        <v>0</v>
      </c>
      <c r="I37" s="23" t="n">
        <v>0</v>
      </c>
      <c r="J37" s="23" t="n">
        <v>0</v>
      </c>
      <c r="K37" s="23" t="n">
        <v>0</v>
      </c>
      <c r="L37" s="23" t="n">
        <v>0</v>
      </c>
      <c r="M37" s="23" t="n">
        <v>0</v>
      </c>
      <c r="N37" s="23" t="n">
        <v>0</v>
      </c>
      <c r="O37" s="23" t="n">
        <v>0</v>
      </c>
      <c r="P37" s="23" t="n">
        <v>0</v>
      </c>
      <c r="Q37" s="23" t="n">
        <v>0</v>
      </c>
      <c r="R37" s="23" t="n">
        <v>0</v>
      </c>
      <c r="S37" s="23" t="n">
        <v>0</v>
      </c>
      <c r="T37" s="23" t="n">
        <v>1000</v>
      </c>
      <c r="U37" s="23" t="n">
        <v>0</v>
      </c>
      <c r="V37" s="23" t="n">
        <v>-1000</v>
      </c>
    </row>
    <row r="38" ht="15" customHeight="1" s="24">
      <c r="A38" s="23" t="inlineStr">
        <is>
          <t>Sous-traitance</t>
        </is>
      </c>
      <c r="B38" s="23" t="inlineStr">
        <is>
          <t>Sous-traitance</t>
        </is>
      </c>
      <c r="C38" s="23" t="inlineStr">
        <is>
          <t>Tactique</t>
        </is>
      </c>
      <c r="D38" s="23" t="n">
        <v>0</v>
      </c>
      <c r="E38" s="23" t="n">
        <v>0</v>
      </c>
      <c r="F38" s="23" t="n">
        <v>0</v>
      </c>
      <c r="G38" s="23" t="n">
        <v>0</v>
      </c>
      <c r="H38" s="23" t="n">
        <v>0</v>
      </c>
      <c r="I38" s="23" t="n">
        <v>0</v>
      </c>
      <c r="J38" s="23" t="n">
        <v>2000</v>
      </c>
      <c r="K38" s="23" t="n">
        <v>-4000</v>
      </c>
      <c r="L38" s="23" t="n">
        <v>0</v>
      </c>
      <c r="M38" s="23" t="n">
        <v>0</v>
      </c>
      <c r="N38" s="23" t="n">
        <v>0</v>
      </c>
      <c r="O38" s="23" t="n">
        <v>0</v>
      </c>
      <c r="P38" s="23" t="n">
        <v>0</v>
      </c>
      <c r="Q38" s="23" t="n">
        <v>0</v>
      </c>
      <c r="R38" s="23" t="n">
        <v>0</v>
      </c>
      <c r="S38" s="23" t="n">
        <v>0</v>
      </c>
      <c r="T38" s="23" t="n">
        <v>2000</v>
      </c>
      <c r="U38" s="23" t="n">
        <v>0</v>
      </c>
      <c r="V38" s="23" t="n">
        <v>0</v>
      </c>
    </row>
    <row r="44" ht="15" customHeight="1" s="24">
      <c r="A44" s="23" t="inlineStr">
        <is>
          <t>ID</t>
        </is>
      </c>
      <c r="B44" s="23" t="inlineStr">
        <is>
          <t>Titre</t>
        </is>
      </c>
      <c r="C44" s="23" t="inlineStr">
        <is>
          <t>ventes</t>
        </is>
      </c>
      <c r="D44" s="23" t="inlineStr">
        <is>
          <t>treso</t>
        </is>
      </c>
      <c r="E44" s="23" t="inlineStr">
        <is>
          <t>stocks</t>
        </is>
      </c>
      <c r="F44" s="23" t="inlineStr">
        <is>
          <t>achats</t>
        </is>
      </c>
      <c r="G44" s="23" t="inlineStr">
        <is>
          <t>chargesExcep</t>
        </is>
      </c>
      <c r="H44" s="23" t="inlineStr">
        <is>
          <t>impots</t>
        </is>
      </c>
      <c r="I44" s="23" t="inlineStr">
        <is>
          <t>revenusExcep</t>
        </is>
      </c>
      <c r="J44" s="23" t="inlineStr">
        <is>
          <t>prodFin</t>
        </is>
      </c>
      <c r="K44" s="23" t="inlineStr">
        <is>
          <t>creancesPlus2</t>
        </is>
      </c>
      <c r="L44" s="23" t="inlineStr">
        <is>
          <t>annulable</t>
        </is>
      </c>
    </row>
    <row r="45" ht="15" customHeight="1" s="24">
      <c r="B45" s="23" t="inlineStr">
        <is>
          <t>Client VIP</t>
        </is>
      </c>
      <c r="C45" s="23" t="n">
        <v>2000</v>
      </c>
      <c r="D45" s="23" t="n">
        <v>2000</v>
      </c>
      <c r="E45" s="23" t="n">
        <v>-2000</v>
      </c>
      <c r="F45" s="23" t="n">
        <v>2000</v>
      </c>
      <c r="G45" s="23" t="n">
        <v>0</v>
      </c>
      <c r="H45" s="23" t="n">
        <v>0</v>
      </c>
      <c r="I45" s="23" t="n">
        <v>0</v>
      </c>
      <c r="J45" s="23" t="n">
        <v>0</v>
      </c>
      <c r="K45" s="23" t="n">
        <v>0</v>
      </c>
      <c r="L45" s="23" t="n">
        <v>0</v>
      </c>
    </row>
    <row r="46" ht="15" customHeight="1" s="24">
      <c r="B46" s="23" t="inlineStr">
        <is>
          <t>Contrôle Fiscal</t>
        </is>
      </c>
      <c r="C46" s="23" t="n">
        <v>0</v>
      </c>
      <c r="D46" s="23" t="n">
        <v>-2000</v>
      </c>
      <c r="E46" s="23" t="n">
        <v>0</v>
      </c>
      <c r="F46" s="23" t="n">
        <v>0</v>
      </c>
      <c r="G46" s="23" t="n">
        <v>0</v>
      </c>
      <c r="H46" s="23" t="n">
        <v>2000</v>
      </c>
      <c r="I46" s="23" t="n">
        <v>0</v>
      </c>
      <c r="J46" s="23" t="n">
        <v>0</v>
      </c>
      <c r="K46" s="23" t="n">
        <v>0</v>
      </c>
      <c r="L46" s="23" t="n">
        <v>1</v>
      </c>
    </row>
    <row r="47" ht="15" customHeight="1" s="24">
      <c r="B47" s="23" t="inlineStr">
        <is>
          <t>Subvention Innovation</t>
        </is>
      </c>
      <c r="C47" s="23" t="n">
        <v>0</v>
      </c>
      <c r="D47" s="23" t="n">
        <v>3000</v>
      </c>
      <c r="E47" s="23" t="n">
        <v>0</v>
      </c>
      <c r="F47" s="23" t="n">
        <v>0</v>
      </c>
      <c r="G47" s="23" t="n">
        <v>0</v>
      </c>
      <c r="H47" s="23" t="n">
        <v>0</v>
      </c>
      <c r="I47" s="23" t="n">
        <v>3000</v>
      </c>
      <c r="J47" s="23" t="n">
        <v>0</v>
      </c>
      <c r="K47" s="23" t="n">
        <v>0</v>
      </c>
      <c r="L47" s="23" t="n">
        <v>0</v>
      </c>
    </row>
    <row r="48" ht="15" customHeight="1" s="24">
      <c r="B48" s="23" t="inlineStr">
        <is>
          <t>Placement Financier</t>
        </is>
      </c>
      <c r="C48" s="23" t="n">
        <v>0</v>
      </c>
      <c r="D48" s="23" t="n">
        <v>1000</v>
      </c>
      <c r="E48" s="23" t="n">
        <v>0</v>
      </c>
      <c r="F48" s="23" t="n">
        <v>0</v>
      </c>
      <c r="G48" s="23" t="n">
        <v>0</v>
      </c>
      <c r="H48" s="23" t="n">
        <v>0</v>
      </c>
      <c r="I48" s="23" t="n">
        <v>0</v>
      </c>
      <c r="J48" s="23" t="n">
        <v>1000</v>
      </c>
      <c r="K48" s="23" t="n">
        <v>0</v>
      </c>
      <c r="L48" s="23" t="n">
        <v>0</v>
      </c>
    </row>
    <row r="49" ht="15" customHeight="1" s="24">
      <c r="B49" s="23" t="inlineStr">
        <is>
          <t>Crise Sanitaire</t>
        </is>
      </c>
      <c r="C49" s="23" t="n">
        <v>0</v>
      </c>
      <c r="D49" s="23" t="n">
        <v>-2000</v>
      </c>
      <c r="E49" s="23" t="n">
        <v>0</v>
      </c>
      <c r="F49" s="23" t="n">
        <v>0</v>
      </c>
      <c r="G49" s="23" t="n">
        <v>2000</v>
      </c>
      <c r="H49" s="23" t="n">
        <v>0</v>
      </c>
      <c r="I49" s="23" t="n">
        <v>0</v>
      </c>
      <c r="J49" s="23" t="n">
        <v>0</v>
      </c>
      <c r="K49" s="23" t="n">
        <v>0</v>
      </c>
      <c r="L49" s="23" t="n">
        <v>1</v>
      </c>
    </row>
    <row r="50" ht="15" customHeight="1" s="24">
      <c r="B50" s="23" t="inlineStr">
        <is>
          <t>Incendie</t>
        </is>
      </c>
      <c r="C50" s="23" t="n">
        <v>0</v>
      </c>
      <c r="D50" s="23" t="n">
        <v>2000</v>
      </c>
      <c r="E50" s="23" t="n">
        <v>0</v>
      </c>
      <c r="F50" s="23" t="n">
        <v>0</v>
      </c>
      <c r="G50" s="23" t="n">
        <v>0</v>
      </c>
      <c r="H50" s="23" t="n">
        <v>0</v>
      </c>
      <c r="I50" s="23" t="n">
        <v>2000</v>
      </c>
      <c r="J50" s="23" t="n">
        <v>0</v>
      </c>
      <c r="K50" s="23" t="n">
        <v>0</v>
      </c>
      <c r="L50" s="23" t="n">
        <v>0</v>
      </c>
    </row>
    <row r="51" ht="15" customHeight="1" s="24">
      <c r="B51" s="23" t="inlineStr">
        <is>
          <t>Grève</t>
        </is>
      </c>
      <c r="C51" s="23" t="n">
        <v>0</v>
      </c>
      <c r="D51" s="23" t="n">
        <v>-2000</v>
      </c>
      <c r="E51" s="23" t="n">
        <v>0</v>
      </c>
      <c r="F51" s="23" t="n">
        <v>0</v>
      </c>
      <c r="G51" s="23" t="n">
        <v>2000</v>
      </c>
      <c r="H51" s="23" t="n">
        <v>0</v>
      </c>
      <c r="I51" s="23" t="n">
        <v>0</v>
      </c>
      <c r="J51" s="23" t="n">
        <v>0</v>
      </c>
      <c r="K51" s="23" t="n">
        <v>0</v>
      </c>
      <c r="L51" s="23" t="n">
        <v>1</v>
      </c>
    </row>
    <row r="52" ht="15" customHeight="1" s="24">
      <c r="B52" s="23" t="inlineStr">
        <is>
          <t>Bouche à Oreille</t>
        </is>
      </c>
      <c r="C52" s="23" t="n">
        <v>1000</v>
      </c>
      <c r="D52" s="23" t="n">
        <v>1000</v>
      </c>
      <c r="E52" s="23" t="n">
        <v>0</v>
      </c>
      <c r="F52" s="23" t="n">
        <v>0</v>
      </c>
      <c r="G52" s="23" t="n">
        <v>0</v>
      </c>
      <c r="H52" s="23" t="n">
        <v>0</v>
      </c>
      <c r="I52" s="23" t="n">
        <v>0</v>
      </c>
      <c r="J52" s="23" t="n">
        <v>0</v>
      </c>
      <c r="K52" s="23" t="n">
        <v>0</v>
      </c>
      <c r="L52" s="23" t="n">
        <v>0</v>
      </c>
    </row>
    <row r="53" ht="15" customHeight="1" s="24">
      <c r="B53" s="23" t="inlineStr">
        <is>
          <t>Perte de Données</t>
        </is>
      </c>
      <c r="C53" s="23" t="n">
        <v>0</v>
      </c>
      <c r="D53" s="23" t="n">
        <v>-2000</v>
      </c>
      <c r="E53" s="23" t="n">
        <v>0</v>
      </c>
      <c r="F53" s="23" t="n">
        <v>0</v>
      </c>
      <c r="G53" s="23" t="n">
        <v>2000</v>
      </c>
      <c r="H53" s="23" t="n">
        <v>0</v>
      </c>
      <c r="I53" s="23" t="n">
        <v>0</v>
      </c>
      <c r="J53" s="23" t="n">
        <v>0</v>
      </c>
      <c r="K53" s="23" t="n">
        <v>0</v>
      </c>
      <c r="L53" s="23" t="n">
        <v>1</v>
      </c>
    </row>
    <row r="54" ht="15" customHeight="1" s="24">
      <c r="B54" s="23" t="inlineStr">
        <is>
          <t>Développement Durable</t>
        </is>
      </c>
      <c r="C54" s="23" t="n">
        <v>3000</v>
      </c>
      <c r="D54" s="23" t="n">
        <v>0</v>
      </c>
      <c r="E54" s="23" t="n">
        <v>-3000</v>
      </c>
      <c r="F54" s="23" t="n">
        <v>3000</v>
      </c>
      <c r="G54" s="23" t="n">
        <v>0</v>
      </c>
      <c r="H54" s="23" t="n">
        <v>0</v>
      </c>
      <c r="I54" s="23" t="n">
        <v>0</v>
      </c>
      <c r="J54" s="23" t="n">
        <v>0</v>
      </c>
      <c r="K54" s="23" t="n">
        <v>3000</v>
      </c>
      <c r="L54" s="23" t="n">
        <v>0</v>
      </c>
    </row>
    <row r="55" ht="15" customHeight="1" s="24">
      <c r="B55" s="23" t="inlineStr">
        <is>
          <t>Prix PME</t>
        </is>
      </c>
      <c r="C55" s="23" t="n">
        <v>0</v>
      </c>
      <c r="D55" s="23" t="n">
        <v>2000</v>
      </c>
      <c r="E55" s="23" t="n">
        <v>0</v>
      </c>
      <c r="F55" s="23" t="n">
        <v>0</v>
      </c>
      <c r="G55" s="23" t="n">
        <v>0</v>
      </c>
      <c r="H55" s="23" t="n">
        <v>0</v>
      </c>
      <c r="I55" s="23" t="n">
        <v>2000</v>
      </c>
      <c r="J55" s="23" t="n">
        <v>0</v>
      </c>
      <c r="K55" s="23" t="n">
        <v>0</v>
      </c>
      <c r="L55" s="23" t="n">
        <v>0</v>
      </c>
    </row>
    <row r="56" ht="15" customHeight="1" s="24">
      <c r="B56" s="23" t="inlineStr">
        <is>
          <t>Rupture Fournisseur</t>
        </is>
      </c>
      <c r="C56" s="23" t="n">
        <v>0</v>
      </c>
      <c r="D56" s="23" t="n">
        <v>-2000</v>
      </c>
      <c r="E56" s="23" t="n">
        <v>0</v>
      </c>
      <c r="F56" s="23" t="n">
        <v>0</v>
      </c>
      <c r="G56" s="23" t="n">
        <v>2000</v>
      </c>
      <c r="H56" s="23" t="n">
        <v>0</v>
      </c>
      <c r="I56" s="23" t="n">
        <v>0</v>
      </c>
      <c r="J56" s="23" t="n">
        <v>0</v>
      </c>
      <c r="K56" s="23" t="n">
        <v>0</v>
      </c>
      <c r="L56" s="23" t="n">
        <v>0</v>
      </c>
    </row>
    <row r="57" ht="15" customHeight="1" s="24">
      <c r="B57" s="23" t="inlineStr">
        <is>
          <t>Litige Commercial</t>
        </is>
      </c>
      <c r="C57" s="23" t="n">
        <v>0</v>
      </c>
      <c r="D57" s="23" t="n">
        <v>-3000</v>
      </c>
      <c r="E57" s="23" t="n">
        <v>0</v>
      </c>
      <c r="F57" s="23" t="n">
        <v>0</v>
      </c>
      <c r="G57" s="23" t="n">
        <v>3000</v>
      </c>
      <c r="H57" s="23" t="n">
        <v>0</v>
      </c>
      <c r="I57" s="23" t="n">
        <v>0</v>
      </c>
      <c r="J57" s="23" t="n">
        <v>0</v>
      </c>
      <c r="K57" s="23" t="n">
        <v>0</v>
      </c>
      <c r="L57" s="23" t="n">
        <v>1</v>
      </c>
    </row>
    <row r="64" ht="15" customHeight="1" s="24">
      <c r="A64" s="23" t="inlineStr">
        <is>
          <t>Nom</t>
        </is>
      </c>
      <c r="B64" s="23" t="inlineStr">
        <is>
          <t>Icon</t>
        </is>
      </c>
      <c r="C64" s="23" t="inlineStr">
        <is>
          <t>Type</t>
        </is>
      </c>
      <c r="D64" s="23" t="inlineStr">
        <is>
          <t>Spécialité</t>
        </is>
      </c>
      <c r="E64" s="23" t="inlineStr">
        <is>
          <t>immo_init</t>
        </is>
      </c>
      <c r="F64" s="23" t="inlineStr">
        <is>
          <t>nb_immo_items</t>
        </is>
      </c>
      <c r="G64" s="23" t="inlineStr">
        <is>
          <t>stocks_init</t>
        </is>
      </c>
      <c r="H64" s="23" t="inlineStr">
        <is>
          <t>treso_init</t>
        </is>
      </c>
      <c r="I64" s="23" t="inlineStr">
        <is>
          <t>capitaux_init</t>
        </is>
      </c>
      <c r="J64" s="23" t="inlineStr">
        <is>
          <t>emprunts_init</t>
        </is>
      </c>
    </row>
    <row r="65" ht="15" customHeight="1" s="24">
      <c r="A65" s="23" t="inlineStr">
        <is>
          <t>Manufacture Belvaux</t>
        </is>
      </c>
      <c r="B65" s="23" t="inlineStr">
        <is>
          <t>🏭</t>
        </is>
      </c>
      <c r="C65" s="23" t="inlineStr">
        <is>
          <t>Production</t>
        </is>
      </c>
      <c r="D65" s="23" t="inlineStr">
        <is>
          <t>+1 prodStockée +1 stocks</t>
        </is>
      </c>
      <c r="E65" s="23" t="n">
        <v>16000</v>
      </c>
      <c r="F65" s="23" t="n">
        <v>2</v>
      </c>
      <c r="G65" s="23" t="n">
        <v>4000</v>
      </c>
      <c r="H65" s="23" t="n">
        <v>8000</v>
      </c>
      <c r="I65" s="23" t="n">
        <v>20000</v>
      </c>
      <c r="J65" s="23" t="n">
        <v>8000</v>
      </c>
    </row>
    <row r="66" ht="15" customHeight="1" s="24">
      <c r="A66" s="23" t="inlineStr">
        <is>
          <t>Véloce Transports</t>
        </is>
      </c>
      <c r="B66" s="23" t="inlineStr">
        <is>
          <t>🚚</t>
        </is>
      </c>
      <c r="C66" s="23" t="inlineStr">
        <is>
          <t>Logistique</t>
        </is>
      </c>
      <c r="D66" s="23" t="inlineStr">
        <is>
          <t>Encaissement -1 délai</t>
        </is>
      </c>
      <c r="E66" s="23" t="n">
        <v>16000</v>
      </c>
      <c r="F66" s="23" t="n">
        <v>2</v>
      </c>
      <c r="G66" s="23" t="n">
        <v>4000</v>
      </c>
      <c r="H66" s="23" t="n">
        <v>8000</v>
      </c>
      <c r="I66" s="23" t="n">
        <v>20000</v>
      </c>
      <c r="J66" s="23" t="n">
        <v>8000</v>
      </c>
    </row>
    <row r="67" ht="15" customHeight="1" s="24">
      <c r="A67" s="23" t="inlineStr">
        <is>
          <t>Azura Commerce</t>
        </is>
      </c>
      <c r="B67" s="23" t="inlineStr">
        <is>
          <t>🏪</t>
        </is>
      </c>
      <c r="C67" s="23" t="inlineStr">
        <is>
          <t>Commerce</t>
        </is>
      </c>
      <c r="D67" s="23" t="inlineStr">
        <is>
          <t>+1 client Particulier/tour</t>
        </is>
      </c>
      <c r="E67" s="23" t="n">
        <v>16000</v>
      </c>
      <c r="F67" s="23" t="n">
        <v>2</v>
      </c>
      <c r="G67" s="23" t="n">
        <v>4000</v>
      </c>
      <c r="H67" s="23" t="n">
        <v>8000</v>
      </c>
      <c r="I67" s="23" t="n">
        <v>20000</v>
      </c>
      <c r="J67" s="23" t="n">
        <v>8000</v>
      </c>
    </row>
    <row r="68" ht="15" customHeight="1" s="24">
      <c r="A68" s="23" t="inlineStr">
        <is>
          <t>Synergia Lab</t>
        </is>
      </c>
      <c r="B68" s="23" t="inlineStr">
        <is>
          <t>💡</t>
        </is>
      </c>
      <c r="C68" s="23" t="inlineStr">
        <is>
          <t>Innovation</t>
        </is>
      </c>
      <c r="D68" s="23" t="inlineStr">
        <is>
          <t>+1 prodFinanciers +1 tréso</t>
        </is>
      </c>
      <c r="E68" s="23" t="n">
        <v>13000</v>
      </c>
      <c r="F68" s="23" t="n">
        <v>2</v>
      </c>
      <c r="G68" s="23" t="n">
        <v>4000</v>
      </c>
      <c r="H68" s="23" t="n">
        <v>8000</v>
      </c>
      <c r="I68" s="23" t="n">
        <v>17000</v>
      </c>
      <c r="J68" s="23" t="n">
        <v>8000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2026-04-06T19:19:12Z</dcterms:created>
  <dcterms:modified xmlns:dcterms="http://purl.org/dc/terms/" xmlns:xsi="http://www.w3.org/2001/XMLSchema-instance" xsi:type="dcterms:W3CDTF">2026-04-06T19:30:26Z</dcterms:modified>
  <cp:revision>0</cp:revision>
</cp:coreProperties>
</file>