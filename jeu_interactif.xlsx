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nnées" sheetId="1" state="visible" r:id="rId3"/>
    <sheet name="Parti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<sst xmlns="http://schemas.openxmlformats.org/spreadsheetml/2006/main" count="235" uniqueCount="166">
  <si>
    <t xml:space="preserve">ID</t>
  </si>
  <si>
    <t xml:space="preserve">Titre</t>
  </si>
  <si>
    <t xml:space="preserve">Catégorie</t>
  </si>
  <si>
    <t xml:space="preserve">imm_immo</t>
  </si>
  <si>
    <t xml:space="preserve">imm_treso</t>
  </si>
  <si>
    <t xml:space="preserve">imm_emprunts</t>
  </si>
  <si>
    <t xml:space="preserve">imm_capitaux</t>
  </si>
  <si>
    <t xml:space="preserve">imm_servExt</t>
  </si>
  <si>
    <t xml:space="preserve">imm_charPers</t>
  </si>
  <si>
    <t xml:space="preserve">rec_servExt</t>
  </si>
  <si>
    <t xml:space="preserve">rec_treso</t>
  </si>
  <si>
    <t xml:space="preserve">rec_charInt</t>
  </si>
  <si>
    <t xml:space="preserve">rec_charPers</t>
  </si>
  <si>
    <t xml:space="preserve">rec_revExcep</t>
  </si>
  <si>
    <t xml:space="preserve">rec_prodFin</t>
  </si>
  <si>
    <t xml:space="preserve">clientType</t>
  </si>
  <si>
    <t xml:space="preserve">nbClients</t>
  </si>
  <si>
    <t xml:space="preserve">capaciteBonus</t>
  </si>
  <si>
    <t xml:space="preserve">imm_stocks</t>
  </si>
  <si>
    <t xml:space="preserve">rec_stocks</t>
  </si>
  <si>
    <t xml:space="preserve">rec_amort</t>
  </si>
  <si>
    <t xml:space="preserve">rec_cmv</t>
  </si>
  <si>
    <t xml:space="preserve">Commercial Junior</t>
  </si>
  <si>
    <t xml:space="preserve">Commercial</t>
  </si>
  <si>
    <t xml:space="preserve">Commercial Senior</t>
  </si>
  <si>
    <t xml:space="preserve">Directrice Commerciale</t>
  </si>
  <si>
    <t xml:space="preserve">Camionnette</t>
  </si>
  <si>
    <t xml:space="preserve">Transport</t>
  </si>
  <si>
    <t xml:space="preserve">Berline</t>
  </si>
  <si>
    <t xml:space="preserve">Site Internet</t>
  </si>
  <si>
    <t xml:space="preserve">Digital</t>
  </si>
  <si>
    <t xml:space="preserve">RSE</t>
  </si>
  <si>
    <t xml:space="preserve">Compliance</t>
  </si>
  <si>
    <t xml:space="preserve">R&amp;D</t>
  </si>
  <si>
    <t xml:space="preserve">Innovation</t>
  </si>
  <si>
    <t xml:space="preserve">Expansion</t>
  </si>
  <si>
    <t xml:space="preserve">Growth</t>
  </si>
  <si>
    <t xml:space="preserve">Certification ISO</t>
  </si>
  <si>
    <t xml:space="preserve">Application Mobile</t>
  </si>
  <si>
    <t xml:space="preserve">Prêt Bancaire</t>
  </si>
  <si>
    <t xml:space="preserve">Finance</t>
  </si>
  <si>
    <t xml:space="preserve">Levée de Fonds</t>
  </si>
  <si>
    <t xml:space="preserve">Crédit-Bail</t>
  </si>
  <si>
    <t xml:space="preserve">Crowdfunding</t>
  </si>
  <si>
    <t xml:space="preserve">Publicité</t>
  </si>
  <si>
    <t xml:space="preserve">Marketing</t>
  </si>
  <si>
    <t xml:space="preserve">Relance Clients</t>
  </si>
  <si>
    <t xml:space="preserve">Formation</t>
  </si>
  <si>
    <t xml:space="preserve">HR</t>
  </si>
  <si>
    <t xml:space="preserve">Programme Fidélité</t>
  </si>
  <si>
    <t xml:space="preserve">Export International</t>
  </si>
  <si>
    <t xml:space="preserve">Partenariat Commercial</t>
  </si>
  <si>
    <t xml:space="preserve">Affacturage</t>
  </si>
  <si>
    <t xml:space="preserve">Contrat Maintenance</t>
  </si>
  <si>
    <t xml:space="preserve">Assurance Prévoyance</t>
  </si>
  <si>
    <t xml:space="preserve">Mutuelle Collective</t>
  </si>
  <si>
    <t xml:space="preserve">Cybersécurité</t>
  </si>
  <si>
    <t xml:space="preserve">IT</t>
  </si>
  <si>
    <t xml:space="preserve">Fourgon Réfrigéré</t>
  </si>
  <si>
    <t xml:space="preserve">Vélo Cargo</t>
  </si>
  <si>
    <t xml:space="preserve">ERP</t>
  </si>
  <si>
    <t xml:space="preserve">Marketplace</t>
  </si>
  <si>
    <t xml:space="preserve">Entrepôt Automatisé</t>
  </si>
  <si>
    <t xml:space="preserve">Logistics</t>
  </si>
  <si>
    <t xml:space="preserve">Label Qualité</t>
  </si>
  <si>
    <t xml:space="preserve">Achat d'Urgence</t>
  </si>
  <si>
    <t xml:space="preserve">Tactique</t>
  </si>
  <si>
    <t xml:space="preserve">Maintenance Préventive</t>
  </si>
  <si>
    <t xml:space="preserve">Service</t>
  </si>
  <si>
    <t xml:space="preserve">Révision Générale</t>
  </si>
  <si>
    <t xml:space="preserve">Investissement</t>
  </si>
  <si>
    <t xml:space="preserve">Optimisation Lean</t>
  </si>
  <si>
    <t xml:space="preserve">Sous-traitance</t>
  </si>
  <si>
    <t xml:space="preserve">ventes</t>
  </si>
  <si>
    <t xml:space="preserve">treso</t>
  </si>
  <si>
    <t xml:space="preserve">stocks</t>
  </si>
  <si>
    <t xml:space="preserve">achats</t>
  </si>
  <si>
    <t xml:space="preserve">chargesExcep</t>
  </si>
  <si>
    <t xml:space="preserve">impots</t>
  </si>
  <si>
    <t xml:space="preserve">revenusExcep</t>
  </si>
  <si>
    <t xml:space="preserve">prodFin</t>
  </si>
  <si>
    <t xml:space="preserve">creancesPlus2</t>
  </si>
  <si>
    <t xml:space="preserve">annulable</t>
  </si>
  <si>
    <t xml:space="preserve">Client VIP</t>
  </si>
  <si>
    <t xml:space="preserve">Contrôle Fiscal</t>
  </si>
  <si>
    <t xml:space="preserve">Subvention Innovation</t>
  </si>
  <si>
    <t xml:space="preserve">Placement Financier</t>
  </si>
  <si>
    <t xml:space="preserve">Crise Sanitaire</t>
  </si>
  <si>
    <t xml:space="preserve">Incendie</t>
  </si>
  <si>
    <t xml:space="preserve">Grève</t>
  </si>
  <si>
    <t xml:space="preserve">Bouche à Oreille</t>
  </si>
  <si>
    <t xml:space="preserve">Perte de Données</t>
  </si>
  <si>
    <t xml:space="preserve">Développement Durable</t>
  </si>
  <si>
    <t xml:space="preserve">Prix PME</t>
  </si>
  <si>
    <t xml:space="preserve">Rupture Fournisseur</t>
  </si>
  <si>
    <t xml:space="preserve">Litige Commercial</t>
  </si>
  <si>
    <t xml:space="preserve">Nom</t>
  </si>
  <si>
    <t xml:space="preserve">Icon</t>
  </si>
  <si>
    <t xml:space="preserve">Type</t>
  </si>
  <si>
    <t xml:space="preserve">Spécialité</t>
  </si>
  <si>
    <t xml:space="preserve">immo_init</t>
  </si>
  <si>
    <t xml:space="preserve">nb_immo_items</t>
  </si>
  <si>
    <t xml:space="preserve">stocks_init</t>
  </si>
  <si>
    <t xml:space="preserve">treso_init</t>
  </si>
  <si>
    <t xml:space="preserve">capitaux_init</t>
  </si>
  <si>
    <t xml:space="preserve">emprunts_init</t>
  </si>
  <si>
    <t xml:space="preserve">Manufacture Belvaux</t>
  </si>
  <si>
    <t xml:space="preserve">🏭</t>
  </si>
  <si>
    <t xml:space="preserve">Production</t>
  </si>
  <si>
    <t xml:space="preserve">+1 prodStockée +1 stocks</t>
  </si>
  <si>
    <t xml:space="preserve">Véloce Transports</t>
  </si>
  <si>
    <t xml:space="preserve">🚚</t>
  </si>
  <si>
    <t xml:space="preserve">Logistique</t>
  </si>
  <si>
    <t xml:space="preserve">Encaissement -1 délai</t>
  </si>
  <si>
    <t xml:space="preserve">Azura Commerce</t>
  </si>
  <si>
    <t xml:space="preserve">🏪</t>
  </si>
  <si>
    <t xml:space="preserve">Commerce</t>
  </si>
  <si>
    <t xml:space="preserve">+1 client Particulier/tour</t>
  </si>
  <si>
    <t xml:space="preserve">Synergia Lab</t>
  </si>
  <si>
    <t xml:space="preserve">💡</t>
  </si>
  <si>
    <t xml:space="preserve">+1 prodFinanciers +1 tréso</t>
  </si>
  <si>
    <t xml:space="preserve">JE DEVIENS PATRON — Simulateur de Partie</t>
  </si>
  <si>
    <t xml:space="preserve">Entreprise:</t>
  </si>
  <si>
    <t xml:space="preserve">Nb Trimestres:</t>
  </si>
  <si>
    <t xml:space="preserve">🎮 TOUR</t>
  </si>
  <si>
    <t xml:space="preserve">✏️ VOS CHOIX</t>
  </si>
  <si>
    <t xml:space="preserve">📊 BILAN</t>
  </si>
  <si>
    <t xml:space="preserve">⚖️ ÉQUILIBRE</t>
  </si>
  <si>
    <t xml:space="preserve">💹 COMPTE DE RÉSULTAT (cumulé)</t>
  </si>
  <si>
    <t xml:space="preserve">🏆 SCORE</t>
  </si>
  <si>
    <t xml:space="preserve">📈 EFFETS CE TOUR</t>
  </si>
  <si>
    <t xml:space="preserve">Tour</t>
  </si>
  <si>
    <t xml:space="preserve">Année</t>
  </si>
  <si>
    <t xml:space="preserve">Trim</t>
  </si>
  <si>
    <t xml:space="preserve">💰 Emprunt</t>
  </si>
  <si>
    <t xml:space="preserve">📦 Achat Qté</t>
  </si>
  <si>
    <t xml:space="preserve">💳 Mode Paie.</t>
  </si>
  <si>
    <t xml:space="preserve">👤 Recrutement</t>
  </si>
  <si>
    <t xml:space="preserve">🃏 Carte Déc.</t>
  </si>
  <si>
    <t xml:space="preserve">⚡ Événement</t>
  </si>
  <si>
    <t xml:space="preserve">🏗️ Immob</t>
  </si>
  <si>
    <t xml:space="preserve">📦 Stocks</t>
  </si>
  <si>
    <t xml:space="preserve">💵 Trésorerie</t>
  </si>
  <si>
    <t xml:space="preserve">⏳ C+1</t>
  </si>
  <si>
    <t xml:space="preserve">⌛ C+2</t>
  </si>
  <si>
    <t xml:space="preserve">🧾 Dettes</t>
  </si>
  <si>
    <t xml:space="preserve">🏦 Emprunts</t>
  </si>
  <si>
    <t xml:space="preserve">💼 Capitaux</t>
  </si>
  <si>
    <t xml:space="preserve">∑ Actif</t>
  </si>
  <si>
    <t xml:space="preserve">∑ Passif</t>
  </si>
  <si>
    <t xml:space="preserve">📈 Résultat</t>
  </si>
  <si>
    <t xml:space="preserve">✓ Équil.</t>
  </si>
  <si>
    <t xml:space="preserve">📤 Ventes</t>
  </si>
  <si>
    <t xml:space="preserve">📥 CMV</t>
  </si>
  <si>
    <t xml:space="preserve">👥 Ch.Pers</t>
  </si>
  <si>
    <t xml:space="preserve">💳 Ch.Int</t>
  </si>
  <si>
    <t xml:space="preserve">📉 Amort</t>
  </si>
  <si>
    <t xml:space="preserve">➕ Rev.Exc</t>
  </si>
  <si>
    <t xml:space="preserve">➖ Ch.Exc</t>
  </si>
  <si>
    <t xml:space="preserve">🏁 Résult.CR</t>
  </si>
  <si>
    <t xml:space="preserve">⭐ Score</t>
  </si>
  <si>
    <t xml:space="preserve">ΔTréso</t>
  </si>
  <si>
    <t xml:space="preserve">ΔRésultat</t>
  </si>
  <si>
    <t xml:space="preserve">Ventes/T</t>
  </si>
  <si>
    <t xml:space="preserve">Charges/T</t>
  </si>
  <si>
    <t xml:space="preserve">—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</si>
</sst>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&quot; €&quot;;[RED]\-#,##0&quot; €&quot;;\-"/>
    <numFmt numFmtId="166" formatCode="\+#,##0&quot; €&quot;;[RED]\-#,##0&quot; €&quot;;\-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Cambria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5C3D0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1"/>
      <color rgb="FF6B728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065F46"/>
      <name val="Arial"/>
      <family val="0"/>
      <charset val="1"/>
    </font>
    <font>
      <b val="true"/>
      <sz val="12"/>
      <color rgb="FF5B21B6"/>
      <name val="Arial"/>
      <family val="0"/>
      <charset val="1"/>
    </font>
    <font>
      <b val="true"/>
      <sz val="11"/>
      <color rgb="FF92400E"/>
      <name val="Arial"/>
      <family val="0"/>
      <charset val="1"/>
    </font>
  </fonts>
  <fills count="24">
    <fill>
      <patternFill patternType="none"/>
    </fill>
    <fill>
      <patternFill patternType="gray125"/>
    </fill>
    <fill>
      <patternFill patternType="solid">
        <fgColor rgb="FFD3D3D3"/>
        <bgColor rgb="FFBFDBFE"/>
      </patternFill>
    </fill>
    <fill>
      <patternFill patternType="solid">
        <fgColor rgb="FF1B2A4A"/>
        <bgColor rgb="FF374151"/>
      </patternFill>
    </fill>
    <fill>
      <patternFill patternType="solid">
        <fgColor rgb="FFE8EEF7"/>
        <bgColor rgb="FFEDE9FE"/>
      </patternFill>
    </fill>
    <fill>
      <patternFill patternType="solid">
        <fgColor rgb="FF374151"/>
        <bgColor rgb="FF1B2A4A"/>
      </patternFill>
    </fill>
    <fill>
      <patternFill patternType="solid">
        <fgColor rgb="FFF0C040"/>
        <bgColor rgb="FFFF9900"/>
      </patternFill>
    </fill>
    <fill>
      <patternFill patternType="solid">
        <fgColor rgb="FF1D4ED8"/>
        <bgColor rgb="FF1E40AF"/>
      </patternFill>
    </fill>
    <fill>
      <patternFill patternType="solid">
        <fgColor rgb="FF1E40AF"/>
        <bgColor rgb="FF1E3A8A"/>
      </patternFill>
    </fill>
    <fill>
      <patternFill patternType="solid">
        <fgColor rgb="FF065F46"/>
        <bgColor rgb="FF064E3B"/>
      </patternFill>
    </fill>
    <fill>
      <patternFill patternType="solid">
        <fgColor rgb="FF5B21B6"/>
        <bgColor rgb="FF4C1D95"/>
      </patternFill>
    </fill>
    <fill>
      <patternFill patternType="solid">
        <fgColor rgb="FFB45309"/>
        <bgColor rgb="FF92400E"/>
      </patternFill>
    </fill>
    <fill>
      <patternFill patternType="solid">
        <fgColor rgb="FF856D0E"/>
        <bgColor rgb="FFB45309"/>
      </patternFill>
    </fill>
    <fill>
      <patternFill patternType="solid">
        <fgColor rgb="FF1E3A8A"/>
        <bgColor rgb="FF1E40AF"/>
      </patternFill>
    </fill>
    <fill>
      <patternFill patternType="solid">
        <fgColor rgb="FF064E3B"/>
        <bgColor rgb="FF065F46"/>
      </patternFill>
    </fill>
    <fill>
      <patternFill patternType="solid">
        <fgColor rgb="FF4C1D95"/>
        <bgColor rgb="FF5B21B6"/>
      </patternFill>
    </fill>
    <fill>
      <patternFill patternType="solid">
        <fgColor rgb="FF92400E"/>
        <bgColor rgb="FFB45309"/>
      </patternFill>
    </fill>
    <fill>
      <patternFill patternType="solid">
        <fgColor rgb="FFE5E7EB"/>
        <bgColor rgb="FFE8EEF7"/>
      </patternFill>
    </fill>
    <fill>
      <patternFill patternType="solid">
        <fgColor rgb="FFFFF3CD"/>
        <bgColor rgb="FFFEF3C7"/>
      </patternFill>
    </fill>
    <fill>
      <patternFill patternType="solid">
        <fgColor rgb="FFDBEAFE"/>
        <bgColor rgb="FFE8EEF7"/>
      </patternFill>
    </fill>
    <fill>
      <patternFill patternType="solid">
        <fgColor rgb="FFBFDBFE"/>
        <bgColor rgb="FFD3D3D3"/>
      </patternFill>
    </fill>
    <fill>
      <patternFill patternType="solid">
        <fgColor rgb="FFD1FAE5"/>
        <bgColor rgb="FFDCFCE7"/>
      </patternFill>
    </fill>
    <fill>
      <patternFill patternType="solid">
        <fgColor rgb="FFEDE9FE"/>
        <bgColor rgb="FFE8EEF7"/>
      </patternFill>
    </fill>
    <fill>
      <patternFill patternType="solid">
        <fgColor rgb="FFFEF3C7"/>
        <bgColor rgb="FFFFF3CD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F0C040"/>
      </left>
      <right style="thin">
        <color rgb="FFF0C040"/>
      </right>
      <top style="thin">
        <color rgb="FFF0C040"/>
      </top>
      <bottom style="thin">
        <color rgb="FFF0C040"/>
      </bottom>
      <diagonal/>
    </border>
    <border diagonalUp="false" diagonalDown="false">
      <left style="thin">
        <color rgb="FF93C5FD"/>
      </left>
      <right style="thin">
        <color rgb="FF93C5FD"/>
      </right>
      <top style="thin">
        <color rgb="FF93C5FD"/>
      </top>
      <bottom style="thin">
        <color rgb="FF93C5F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1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2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3" fillId="21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4" fillId="2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5" fillId="2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b val="1"/>
        <color rgb="FFDC2626"/>
      </font>
      <fill>
        <patternFill>
          <bgColor rgb="FFFEE2E2"/>
        </patternFill>
      </fill>
    </dxf>
    <dxf>
      <fill>
        <patternFill>
          <bgColor rgb="FFDCFCE7"/>
        </patternFill>
      </fill>
    </dxf>
    <dxf>
      <fill>
        <patternFill>
          <bgColor rgb="FFFEF9C3"/>
        </patternFill>
      </fill>
    </dxf>
    <dxf>
      <font>
        <b val="1"/>
        <color rgb="FFDC2626"/>
      </font>
    </dxf>
    <dxf>
      <font>
        <b val="1"/>
        <color rgb="FF16A34A"/>
      </font>
    </dxf>
    <dxf>
      <font>
        <b val="1"/>
        <color rgb="FF16A34A"/>
      </font>
      <fill>
        <patternFill>
          <bgColor rgb="FFDCFCE7"/>
        </patternFill>
      </fill>
    </dxf>
  </dxfs>
  <colors>
    <indexedColors>
      <rgbColor rgb="FF000000"/>
      <rgbColor rgb="FFFFFFFF"/>
      <rgbColor rgb="FFDC2626"/>
      <rgbColor rgb="FF00FF00"/>
      <rgbColor rgb="FF0000FF"/>
      <rgbColor rgb="FFFFF3CD"/>
      <rgbColor rgb="FFFF00FF"/>
      <rgbColor rgb="FF00FFFF"/>
      <rgbColor rgb="FF800000"/>
      <rgbColor rgb="FF008000"/>
      <rgbColor rgb="FF000080"/>
      <rgbColor rgb="FF856D0E"/>
      <rgbColor rgb="FF5B21B6"/>
      <rgbColor rgb="FF065F46"/>
      <rgbColor rgb="FFD3D3D3"/>
      <rgbColor rgb="FF808080"/>
      <rgbColor rgb="FFE8EEF7"/>
      <rgbColor rgb="FFB45309"/>
      <rgbColor rgb="FFFEF9C3"/>
      <rgbColor rgb="FFDCFCE7"/>
      <rgbColor rgb="FF4C1D95"/>
      <rgbColor rgb="FFFF8080"/>
      <rgbColor rgb="FF1D4ED8"/>
      <rgbColor rgb="FFBFDBF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D1FAE5"/>
      <rgbColor rgb="FFFEF3C7"/>
      <rgbColor rgb="FF93C5FD"/>
      <rgbColor rgb="FFEDE9FE"/>
      <rgbColor rgb="FFE5E7EB"/>
      <rgbColor rgb="FFFEE2E2"/>
      <rgbColor rgb="FF1E40AF"/>
      <rgbColor rgb="FF33CCCC"/>
      <rgbColor rgb="FF99CC00"/>
      <rgbColor rgb="FFF0C040"/>
      <rgbColor rgb="FFFF9900"/>
      <rgbColor rgb="FFFF6600"/>
      <rgbColor rgb="FF6B7280"/>
      <rgbColor rgb="FF969696"/>
      <rgbColor rgb="FF1B2A4A"/>
      <rgbColor rgb="FF16A34A"/>
      <rgbColor rgb="FF064E3B"/>
      <rgbColor rgb="FF5C3D0A"/>
      <rgbColor rgb="FF92400E"/>
      <rgbColor rgb="FF993366"/>
      <rgbColor rgb="FF1E3A8A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18"/>
    <col collapsed="false" customWidth="true" hidden="false" outlineLevel="0" max="18" min="3" style="1" width="12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customFormat="false" ht="15" hidden="false" customHeight="true" outlineLevel="0" collapsed="false">
      <c r="A2" s="1" t="s">
        <v>22</v>
      </c>
      <c r="B2" s="1" t="s">
        <v>22</v>
      </c>
      <c r="C2" s="1" t="s">
        <v>23</v>
      </c>
      <c r="D2" s="1" t="n">
        <v>0</v>
      </c>
      <c r="E2" s="1" t="n">
        <v>-1000</v>
      </c>
      <c r="F2" s="1" t="n">
        <v>0</v>
      </c>
      <c r="G2" s="1" t="n">
        <v>0</v>
      </c>
      <c r="H2" s="1" t="n">
        <v>0</v>
      </c>
      <c r="I2" s="1" t="n">
        <v>1000</v>
      </c>
      <c r="J2" s="1" t="n">
        <v>0</v>
      </c>
      <c r="K2" s="1" t="n">
        <v>-1000</v>
      </c>
      <c r="L2" s="1" t="n">
        <v>0</v>
      </c>
      <c r="M2" s="1" t="n">
        <v>1000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 customFormat="false" ht="15" hidden="false" customHeight="true" outlineLevel="0" collapsed="false">
      <c r="A3" s="1" t="s">
        <v>24</v>
      </c>
      <c r="B3" s="1" t="s">
        <v>24</v>
      </c>
      <c r="C3" s="1" t="s">
        <v>23</v>
      </c>
      <c r="D3" s="1" t="n">
        <v>0</v>
      </c>
      <c r="E3" s="1" t="n">
        <v>-2000</v>
      </c>
      <c r="F3" s="1" t="n">
        <v>0</v>
      </c>
      <c r="G3" s="1" t="n">
        <v>0</v>
      </c>
      <c r="H3" s="1" t="n">
        <v>0</v>
      </c>
      <c r="I3" s="1" t="n">
        <v>2000</v>
      </c>
      <c r="J3" s="1" t="n">
        <v>0</v>
      </c>
      <c r="K3" s="1" t="n">
        <v>-2000</v>
      </c>
      <c r="L3" s="1" t="n">
        <v>0</v>
      </c>
      <c r="M3" s="1" t="n">
        <v>2000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 customFormat="false" ht="15" hidden="false" customHeight="true" outlineLevel="0" collapsed="false">
      <c r="A4" s="1" t="s">
        <v>25</v>
      </c>
      <c r="B4" s="1" t="s">
        <v>25</v>
      </c>
      <c r="C4" s="1" t="s">
        <v>23</v>
      </c>
      <c r="D4" s="1" t="n">
        <v>0</v>
      </c>
      <c r="E4" s="1" t="n">
        <v>-3000</v>
      </c>
      <c r="F4" s="1" t="n">
        <v>0</v>
      </c>
      <c r="G4" s="1" t="n">
        <v>0</v>
      </c>
      <c r="H4" s="1" t="n">
        <v>0</v>
      </c>
      <c r="I4" s="1" t="n">
        <v>3000</v>
      </c>
      <c r="J4" s="1" t="n">
        <v>0</v>
      </c>
      <c r="K4" s="1" t="n">
        <v>-3000</v>
      </c>
      <c r="L4" s="1" t="n">
        <v>0</v>
      </c>
      <c r="M4" s="1" t="n">
        <v>3000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 customFormat="false" ht="15" hidden="false" customHeight="true" outlineLevel="0" collapsed="false">
      <c r="A5" s="1" t="s">
        <v>26</v>
      </c>
      <c r="B5" s="1" t="s">
        <v>26</v>
      </c>
      <c r="C5" s="1" t="s">
        <v>27</v>
      </c>
      <c r="D5" s="1" t="n">
        <v>8000</v>
      </c>
      <c r="E5" s="1" t="n">
        <v>-8000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1000</v>
      </c>
      <c r="K5" s="1" t="n">
        <v>-1000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1</v>
      </c>
      <c r="Q5" s="1" t="n">
        <v>1</v>
      </c>
      <c r="R5" s="1" t="n">
        <v>6</v>
      </c>
      <c r="S5" s="1" t="n">
        <v>0</v>
      </c>
      <c r="T5" s="1" t="n">
        <v>0</v>
      </c>
      <c r="U5" s="1" t="n">
        <v>0</v>
      </c>
      <c r="V5" s="1" t="n">
        <v>0</v>
      </c>
    </row>
    <row r="6" customFormat="false" ht="15" hidden="false" customHeight="true" outlineLevel="0" collapsed="false">
      <c r="A6" s="1" t="s">
        <v>28</v>
      </c>
      <c r="B6" s="1" t="s">
        <v>28</v>
      </c>
      <c r="C6" s="1" t="s">
        <v>27</v>
      </c>
      <c r="D6" s="1" t="n">
        <v>8000</v>
      </c>
      <c r="E6" s="1" t="n">
        <v>-8000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2000</v>
      </c>
      <c r="K6" s="1" t="n">
        <v>-2000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 customFormat="false" ht="15" hidden="false" customHeight="true" outlineLevel="0" collapsed="false">
      <c r="A7" s="1" t="s">
        <v>29</v>
      </c>
      <c r="B7" s="1" t="s">
        <v>29</v>
      </c>
      <c r="C7" s="1" t="s">
        <v>30</v>
      </c>
      <c r="D7" s="1" t="n">
        <v>4000</v>
      </c>
      <c r="E7" s="1" t="n">
        <v>-4000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1000</v>
      </c>
      <c r="K7" s="1" t="n">
        <v>-1000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1</v>
      </c>
      <c r="Q7" s="1" t="n">
        <v>1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 customFormat="false" ht="15" hidden="false" customHeight="true" outlineLevel="0" collapsed="false">
      <c r="A8" s="1" t="s">
        <v>31</v>
      </c>
      <c r="B8" s="1" t="s">
        <v>31</v>
      </c>
      <c r="C8" s="1" t="s">
        <v>32</v>
      </c>
      <c r="D8" s="1" t="n">
        <v>2000</v>
      </c>
      <c r="E8" s="1" t="n">
        <v>0</v>
      </c>
      <c r="F8" s="1" t="n">
        <v>2000</v>
      </c>
      <c r="G8" s="1" t="n">
        <v>0</v>
      </c>
      <c r="H8" s="1" t="n">
        <v>0</v>
      </c>
      <c r="I8" s="1" t="n">
        <v>0</v>
      </c>
      <c r="J8" s="1" t="n">
        <v>1000</v>
      </c>
      <c r="K8" s="1" t="n">
        <v>-1000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1</v>
      </c>
      <c r="Q8" s="1" t="n">
        <v>1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 customFormat="false" ht="15" hidden="false" customHeight="true" outlineLevel="0" collapsed="false">
      <c r="A9" s="1" t="s">
        <v>33</v>
      </c>
      <c r="B9" s="1" t="s">
        <v>33</v>
      </c>
      <c r="C9" s="1" t="s">
        <v>34</v>
      </c>
      <c r="D9" s="1" t="n">
        <v>5000</v>
      </c>
      <c r="E9" s="1" t="n">
        <v>-5000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2000</v>
      </c>
      <c r="K9" s="1" t="n">
        <v>0</v>
      </c>
      <c r="L9" s="1" t="n">
        <v>0</v>
      </c>
      <c r="M9" s="1" t="n">
        <v>0</v>
      </c>
      <c r="N9" s="1" t="n">
        <v>1000</v>
      </c>
      <c r="O9" s="1" t="n">
        <v>0</v>
      </c>
      <c r="P9" s="1" t="n">
        <v>2</v>
      </c>
      <c r="Q9" s="1" t="n">
        <v>1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 customFormat="false" ht="15" hidden="false" customHeight="true" outlineLevel="0" collapsed="false">
      <c r="A10" s="1" t="s">
        <v>35</v>
      </c>
      <c r="B10" s="1" t="s">
        <v>35</v>
      </c>
      <c r="C10" s="1" t="s">
        <v>36</v>
      </c>
      <c r="D10" s="1" t="n">
        <v>8000</v>
      </c>
      <c r="E10" s="1" t="n">
        <v>-8000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1000</v>
      </c>
      <c r="K10" s="1" t="n">
        <v>-1000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3</v>
      </c>
      <c r="Q10" s="1" t="n">
        <v>1</v>
      </c>
      <c r="R10" s="1" t="n">
        <v>10</v>
      </c>
      <c r="S10" s="1" t="n">
        <v>0</v>
      </c>
      <c r="T10" s="1" t="n">
        <v>0</v>
      </c>
      <c r="U10" s="1" t="n">
        <v>0</v>
      </c>
      <c r="V10" s="1" t="n">
        <v>0</v>
      </c>
    </row>
    <row r="11" customFormat="false" ht="15" hidden="false" customHeight="true" outlineLevel="0" collapsed="false">
      <c r="A11" s="1" t="s">
        <v>37</v>
      </c>
      <c r="B11" s="1" t="s">
        <v>37</v>
      </c>
      <c r="C11" s="1" t="s">
        <v>32</v>
      </c>
      <c r="D11" s="1" t="n">
        <v>5000</v>
      </c>
      <c r="E11" s="1" t="n">
        <v>-5000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1000</v>
      </c>
      <c r="K11" s="1" t="n">
        <v>-1000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3</v>
      </c>
      <c r="Q11" s="1" t="n">
        <v>1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 customFormat="false" ht="15" hidden="false" customHeight="true" outlineLevel="0" collapsed="false">
      <c r="A12" s="1" t="s">
        <v>38</v>
      </c>
      <c r="B12" s="1" t="s">
        <v>38</v>
      </c>
      <c r="C12" s="1" t="s">
        <v>30</v>
      </c>
      <c r="D12" s="1" t="n">
        <v>4000</v>
      </c>
      <c r="E12" s="1" t="n">
        <v>-4000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1000</v>
      </c>
      <c r="K12" s="1" t="n">
        <v>-1000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1</v>
      </c>
      <c r="Q12" s="1" t="n">
        <v>2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 customFormat="false" ht="15" hidden="false" customHeight="true" outlineLevel="0" collapsed="false">
      <c r="A13" s="1" t="s">
        <v>39</v>
      </c>
      <c r="B13" s="1" t="s">
        <v>39</v>
      </c>
      <c r="C13" s="1" t="s">
        <v>40</v>
      </c>
      <c r="D13" s="1" t="n">
        <v>0</v>
      </c>
      <c r="E13" s="1" t="n">
        <v>5000</v>
      </c>
      <c r="F13" s="1" t="n">
        <v>5000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-1000</v>
      </c>
      <c r="L13" s="1" t="n">
        <v>1000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 customFormat="false" ht="15" hidden="false" customHeight="true" outlineLevel="0" collapsed="false">
      <c r="A14" s="1" t="s">
        <v>41</v>
      </c>
      <c r="B14" s="1" t="s">
        <v>41</v>
      </c>
      <c r="C14" s="1" t="s">
        <v>40</v>
      </c>
      <c r="D14" s="1" t="n">
        <v>0</v>
      </c>
      <c r="E14" s="1" t="n">
        <v>3000</v>
      </c>
      <c r="F14" s="1" t="n">
        <v>0</v>
      </c>
      <c r="G14" s="1" t="n">
        <v>6000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 customFormat="false" ht="15" hidden="false" customHeight="true" outlineLevel="0" collapsed="false">
      <c r="A15" s="1" t="s">
        <v>42</v>
      </c>
      <c r="B15" s="1" t="s">
        <v>42</v>
      </c>
      <c r="C15" s="1" t="s">
        <v>40</v>
      </c>
      <c r="D15" s="1" t="n">
        <v>6000</v>
      </c>
      <c r="E15" s="1" t="n">
        <v>0</v>
      </c>
      <c r="F15" s="1" t="n">
        <v>6000</v>
      </c>
      <c r="G15" s="1" t="n">
        <v>0</v>
      </c>
      <c r="H15" s="1" t="n">
        <v>0</v>
      </c>
      <c r="I15" s="1" t="n">
        <v>0</v>
      </c>
      <c r="J15" s="1" t="n">
        <v>2000</v>
      </c>
      <c r="K15" s="1" t="n">
        <v>-2000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2</v>
      </c>
      <c r="Q15" s="1" t="n">
        <v>1</v>
      </c>
      <c r="R15" s="1" t="n">
        <v>6</v>
      </c>
      <c r="S15" s="1" t="n">
        <v>0</v>
      </c>
      <c r="T15" s="1" t="n">
        <v>0</v>
      </c>
      <c r="U15" s="1" t="n">
        <v>0</v>
      </c>
      <c r="V15" s="1" t="n">
        <v>0</v>
      </c>
    </row>
    <row r="16" customFormat="false" ht="15" hidden="false" customHeight="true" outlineLevel="0" collapsed="false">
      <c r="A16" s="1" t="s">
        <v>43</v>
      </c>
      <c r="B16" s="1" t="s">
        <v>43</v>
      </c>
      <c r="C16" s="1" t="s">
        <v>40</v>
      </c>
      <c r="D16" s="1" t="n">
        <v>0</v>
      </c>
      <c r="E16" s="1" t="n">
        <v>4000</v>
      </c>
      <c r="F16" s="1" t="n">
        <v>0</v>
      </c>
      <c r="G16" s="1" t="n">
        <v>4000</v>
      </c>
      <c r="H16" s="1" t="n">
        <v>0</v>
      </c>
      <c r="I16" s="1" t="n">
        <v>0</v>
      </c>
      <c r="J16" s="1" t="n">
        <v>1000</v>
      </c>
      <c r="K16" s="1" t="n">
        <v>-1000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</row>
    <row r="17" customFormat="false" ht="15" hidden="false" customHeight="true" outlineLevel="0" collapsed="false">
      <c r="A17" s="1" t="s">
        <v>44</v>
      </c>
      <c r="B17" s="1" t="s">
        <v>44</v>
      </c>
      <c r="C17" s="1" t="s">
        <v>45</v>
      </c>
      <c r="D17" s="1" t="n">
        <v>0</v>
      </c>
      <c r="E17" s="1" t="n">
        <v>-2000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2000</v>
      </c>
      <c r="K17" s="1" t="n">
        <v>-2000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1</v>
      </c>
      <c r="Q17" s="1" t="n">
        <v>2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</row>
    <row r="18" customFormat="false" ht="15" hidden="false" customHeight="true" outlineLevel="0" collapsed="false">
      <c r="A18" s="1" t="s">
        <v>46</v>
      </c>
      <c r="B18" s="1" t="s">
        <v>46</v>
      </c>
      <c r="C18" s="1" t="s">
        <v>23</v>
      </c>
      <c r="D18" s="1" t="n">
        <v>0</v>
      </c>
      <c r="E18" s="1" t="n">
        <v>-1000</v>
      </c>
      <c r="F18" s="1" t="n">
        <v>0</v>
      </c>
      <c r="G18" s="1" t="n">
        <v>0</v>
      </c>
      <c r="H18" s="1" t="n">
        <v>0</v>
      </c>
      <c r="I18" s="1" t="n">
        <v>1000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</row>
    <row r="19" customFormat="false" ht="15" hidden="false" customHeight="true" outlineLevel="0" collapsed="false">
      <c r="A19" s="1" t="s">
        <v>47</v>
      </c>
      <c r="B19" s="1" t="s">
        <v>47</v>
      </c>
      <c r="C19" s="1" t="s">
        <v>48</v>
      </c>
      <c r="D19" s="1" t="n">
        <v>0</v>
      </c>
      <c r="E19" s="1" t="n">
        <v>-1000</v>
      </c>
      <c r="F19" s="1" t="n">
        <v>0</v>
      </c>
      <c r="G19" s="1" t="n">
        <v>0</v>
      </c>
      <c r="H19" s="1" t="n">
        <v>0</v>
      </c>
      <c r="I19" s="1" t="n">
        <v>1000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3</v>
      </c>
      <c r="Q19" s="1" t="n">
        <v>1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</row>
    <row r="20" customFormat="false" ht="15" hidden="false" customHeight="true" outlineLevel="0" collapsed="false">
      <c r="A20" s="1" t="s">
        <v>49</v>
      </c>
      <c r="B20" s="1" t="s">
        <v>49</v>
      </c>
      <c r="C20" s="1" t="s">
        <v>45</v>
      </c>
      <c r="D20" s="1" t="n">
        <v>3000</v>
      </c>
      <c r="E20" s="1" t="n">
        <v>-3000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1000</v>
      </c>
      <c r="K20" s="1" t="n">
        <v>-1000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1</v>
      </c>
      <c r="Q20" s="1" t="n">
        <v>1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</row>
    <row r="21" customFormat="false" ht="15" hidden="false" customHeight="true" outlineLevel="0" collapsed="false">
      <c r="A21" s="1" t="s">
        <v>50</v>
      </c>
      <c r="B21" s="1" t="s">
        <v>50</v>
      </c>
      <c r="C21" s="1" t="s">
        <v>36</v>
      </c>
      <c r="D21" s="1" t="n">
        <v>5000</v>
      </c>
      <c r="E21" s="1" t="n">
        <v>-5000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2000</v>
      </c>
      <c r="K21" s="1" t="n">
        <v>-2000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3</v>
      </c>
      <c r="Q21" s="1" t="n">
        <v>1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</row>
    <row r="22" customFormat="false" ht="15" hidden="false" customHeight="true" outlineLevel="0" collapsed="false">
      <c r="A22" s="1" t="s">
        <v>51</v>
      </c>
      <c r="B22" s="1" t="s">
        <v>51</v>
      </c>
      <c r="C22" s="1" t="s">
        <v>23</v>
      </c>
      <c r="D22" s="1" t="n">
        <v>2000</v>
      </c>
      <c r="E22" s="1" t="n">
        <v>-2000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1000</v>
      </c>
      <c r="K22" s="1" t="n">
        <v>-1000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2</v>
      </c>
      <c r="Q22" s="1" t="n">
        <v>1</v>
      </c>
      <c r="R22" s="1" t="n">
        <v>0</v>
      </c>
      <c r="S22" s="1" t="n">
        <v>0</v>
      </c>
      <c r="T22" s="1" t="n">
        <v>0</v>
      </c>
      <c r="U22" s="1" t="n">
        <v>0</v>
      </c>
      <c r="V22" s="1" t="n">
        <v>0</v>
      </c>
    </row>
    <row r="23" customFormat="false" ht="15" hidden="false" customHeight="true" outlineLevel="0" collapsed="false">
      <c r="A23" s="1" t="s">
        <v>52</v>
      </c>
      <c r="B23" s="1" t="s">
        <v>52</v>
      </c>
      <c r="C23" s="1" t="s">
        <v>40</v>
      </c>
      <c r="D23" s="1" t="n">
        <v>0</v>
      </c>
      <c r="E23" s="1" t="n">
        <v>-2000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2000</v>
      </c>
      <c r="K23" s="1" t="n">
        <v>-2000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</v>
      </c>
    </row>
    <row r="24" customFormat="false" ht="15" hidden="false" customHeight="true" outlineLevel="0" collapsed="false">
      <c r="A24" s="1" t="s">
        <v>53</v>
      </c>
      <c r="B24" s="1" t="s">
        <v>53</v>
      </c>
      <c r="C24" s="1" t="s">
        <v>23</v>
      </c>
      <c r="D24" s="1" t="n">
        <v>0</v>
      </c>
      <c r="E24" s="1" t="n">
        <v>-1000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1000</v>
      </c>
      <c r="K24" s="1" t="n">
        <v>-1000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0</v>
      </c>
    </row>
    <row r="25" customFormat="false" ht="15" hidden="false" customHeight="true" outlineLevel="0" collapsed="false">
      <c r="A25" s="1" t="s">
        <v>54</v>
      </c>
      <c r="B25" s="1" t="s">
        <v>54</v>
      </c>
      <c r="C25" s="1" t="s">
        <v>32</v>
      </c>
      <c r="D25" s="1" t="n">
        <v>2000</v>
      </c>
      <c r="E25" s="1" t="n">
        <v>-2000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1000</v>
      </c>
      <c r="K25" s="1" t="n">
        <v>-1000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</row>
    <row r="26" customFormat="false" ht="15" hidden="false" customHeight="true" outlineLevel="0" collapsed="false">
      <c r="A26" s="1" t="s">
        <v>55</v>
      </c>
      <c r="B26" s="1" t="s">
        <v>55</v>
      </c>
      <c r="C26" s="1" t="s">
        <v>48</v>
      </c>
      <c r="D26" s="1" t="n">
        <v>2000</v>
      </c>
      <c r="E26" s="1" t="n">
        <v>-2000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1000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</v>
      </c>
    </row>
    <row r="27" customFormat="false" ht="15" hidden="false" customHeight="true" outlineLevel="0" collapsed="false">
      <c r="A27" s="1" t="s">
        <v>56</v>
      </c>
      <c r="B27" s="1" t="s">
        <v>56</v>
      </c>
      <c r="C27" s="1" t="s">
        <v>57</v>
      </c>
      <c r="D27" s="1" t="n">
        <v>3000</v>
      </c>
      <c r="E27" s="1" t="n">
        <v>-3000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1000</v>
      </c>
      <c r="K27" s="1" t="n">
        <v>-1000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</row>
    <row r="28" customFormat="false" ht="15" hidden="false" customHeight="true" outlineLevel="0" collapsed="false">
      <c r="A28" s="1" t="s">
        <v>58</v>
      </c>
      <c r="B28" s="1" t="s">
        <v>58</v>
      </c>
      <c r="C28" s="1" t="s">
        <v>27</v>
      </c>
      <c r="D28" s="1" t="n">
        <v>6000</v>
      </c>
      <c r="E28" s="1" t="n">
        <v>-6000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2000</v>
      </c>
      <c r="K28" s="1" t="n">
        <v>-2000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2</v>
      </c>
      <c r="Q28" s="1" t="n">
        <v>1</v>
      </c>
      <c r="R28" s="1" t="n">
        <v>5</v>
      </c>
      <c r="S28" s="1" t="n">
        <v>0</v>
      </c>
      <c r="T28" s="1" t="n">
        <v>0</v>
      </c>
      <c r="U28" s="1" t="n">
        <v>0</v>
      </c>
      <c r="V28" s="1" t="n">
        <v>0</v>
      </c>
    </row>
    <row r="29" customFormat="false" ht="15" hidden="false" customHeight="true" outlineLevel="0" collapsed="false">
      <c r="A29" s="1" t="s">
        <v>59</v>
      </c>
      <c r="B29" s="1" t="s">
        <v>59</v>
      </c>
      <c r="C29" s="1" t="s">
        <v>27</v>
      </c>
      <c r="D29" s="1" t="n">
        <v>3000</v>
      </c>
      <c r="E29" s="1" t="n">
        <v>-3000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1</v>
      </c>
      <c r="Q29" s="1" t="n">
        <v>1</v>
      </c>
      <c r="R29" s="1" t="n">
        <v>3</v>
      </c>
      <c r="S29" s="1" t="n">
        <v>0</v>
      </c>
      <c r="T29" s="1" t="n">
        <v>0</v>
      </c>
      <c r="U29" s="1" t="n">
        <v>0</v>
      </c>
      <c r="V29" s="1" t="n">
        <v>0</v>
      </c>
    </row>
    <row r="30" customFormat="false" ht="15" hidden="false" customHeight="true" outlineLevel="0" collapsed="false">
      <c r="A30" s="1" t="s">
        <v>60</v>
      </c>
      <c r="B30" s="1" t="s">
        <v>60</v>
      </c>
      <c r="C30" s="1" t="s">
        <v>57</v>
      </c>
      <c r="D30" s="1" t="n">
        <v>5000</v>
      </c>
      <c r="E30" s="1" t="n">
        <v>-5000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1000</v>
      </c>
      <c r="K30" s="1" t="n">
        <v>-1000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3</v>
      </c>
      <c r="Q30" s="1" t="n">
        <v>1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</row>
    <row r="31" customFormat="false" ht="15" hidden="false" customHeight="true" outlineLevel="0" collapsed="false">
      <c r="A31" s="1" t="s">
        <v>61</v>
      </c>
      <c r="B31" s="1" t="s">
        <v>61</v>
      </c>
      <c r="C31" s="1" t="s">
        <v>30</v>
      </c>
      <c r="D31" s="1" t="n">
        <v>4000</v>
      </c>
      <c r="E31" s="1" t="n">
        <v>-4000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1000</v>
      </c>
      <c r="K31" s="1" t="n">
        <v>-1000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1</v>
      </c>
      <c r="Q31" s="1" t="n">
        <v>2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</row>
    <row r="32" customFormat="false" ht="15" hidden="false" customHeight="true" outlineLevel="0" collapsed="false">
      <c r="A32" s="1" t="s">
        <v>62</v>
      </c>
      <c r="B32" s="1" t="s">
        <v>62</v>
      </c>
      <c r="C32" s="1" t="s">
        <v>63</v>
      </c>
      <c r="D32" s="1" t="n">
        <v>8000</v>
      </c>
      <c r="E32" s="1" t="n">
        <v>-8000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1000</v>
      </c>
      <c r="K32" s="1" t="n">
        <v>-1000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3</v>
      </c>
      <c r="Q32" s="1" t="n">
        <v>1</v>
      </c>
      <c r="R32" s="1" t="n">
        <v>10</v>
      </c>
      <c r="S32" s="1" t="n">
        <v>0</v>
      </c>
      <c r="T32" s="1" t="n">
        <v>0</v>
      </c>
      <c r="U32" s="1" t="n">
        <v>0</v>
      </c>
      <c r="V32" s="1" t="n">
        <v>0</v>
      </c>
    </row>
    <row r="33" customFormat="false" ht="15" hidden="false" customHeight="true" outlineLevel="0" collapsed="false">
      <c r="A33" s="1" t="s">
        <v>64</v>
      </c>
      <c r="B33" s="1" t="s">
        <v>64</v>
      </c>
      <c r="C33" s="1" t="s">
        <v>32</v>
      </c>
      <c r="D33" s="1" t="n">
        <v>4000</v>
      </c>
      <c r="E33" s="1" t="n">
        <v>-4000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1000</v>
      </c>
      <c r="K33" s="1" t="n">
        <v>-1000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2</v>
      </c>
      <c r="Q33" s="1" t="n">
        <v>1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</row>
    <row r="34" customFormat="false" ht="15" hidden="false" customHeight="true" outlineLevel="0" collapsed="false">
      <c r="A34" s="1" t="s">
        <v>65</v>
      </c>
      <c r="B34" s="1" t="s">
        <v>65</v>
      </c>
      <c r="C34" s="1" t="s">
        <v>66</v>
      </c>
      <c r="D34" s="1" t="n">
        <v>0</v>
      </c>
      <c r="E34" s="1" t="n">
        <v>-7000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5000</v>
      </c>
      <c r="T34" s="1" t="n">
        <v>0</v>
      </c>
      <c r="U34" s="1" t="n">
        <v>0</v>
      </c>
      <c r="V34" s="1" t="n">
        <v>0</v>
      </c>
    </row>
    <row r="35" customFormat="false" ht="15" hidden="false" customHeight="true" outlineLevel="0" collapsed="false">
      <c r="A35" s="1" t="s">
        <v>67</v>
      </c>
      <c r="B35" s="1" t="s">
        <v>67</v>
      </c>
      <c r="C35" s="1" t="s">
        <v>68</v>
      </c>
      <c r="D35" s="1" t="n">
        <v>0</v>
      </c>
      <c r="E35" s="1" t="n">
        <v>-2000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1000</v>
      </c>
      <c r="K35" s="1" t="n">
        <v>-1000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-1000</v>
      </c>
      <c r="V35" s="1" t="n">
        <v>0</v>
      </c>
    </row>
    <row r="36" customFormat="false" ht="15" hidden="false" customHeight="true" outlineLevel="0" collapsed="false">
      <c r="A36" s="1" t="s">
        <v>69</v>
      </c>
      <c r="B36" s="1" t="s">
        <v>69</v>
      </c>
      <c r="C36" s="1" t="s">
        <v>70</v>
      </c>
      <c r="D36" s="1" t="n">
        <v>4000</v>
      </c>
      <c r="E36" s="1" t="n">
        <v>-4000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</row>
    <row r="37" customFormat="false" ht="15" hidden="false" customHeight="true" outlineLevel="0" collapsed="false">
      <c r="A37" s="1" t="s">
        <v>71</v>
      </c>
      <c r="B37" s="1" t="s">
        <v>71</v>
      </c>
      <c r="C37" s="1" t="s">
        <v>34</v>
      </c>
      <c r="D37" s="1" t="n">
        <v>3000</v>
      </c>
      <c r="E37" s="1" t="n">
        <v>-3000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1000</v>
      </c>
      <c r="U37" s="1" t="n">
        <v>0</v>
      </c>
      <c r="V37" s="1" t="n">
        <v>-1000</v>
      </c>
    </row>
    <row r="38" customFormat="false" ht="15" hidden="false" customHeight="true" outlineLevel="0" collapsed="false">
      <c r="A38" s="1" t="s">
        <v>72</v>
      </c>
      <c r="B38" s="1" t="s">
        <v>72</v>
      </c>
      <c r="C38" s="1" t="s">
        <v>66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2000</v>
      </c>
      <c r="K38" s="1" t="n">
        <v>-4000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2000</v>
      </c>
      <c r="U38" s="1" t="n">
        <v>0</v>
      </c>
      <c r="V38" s="1" t="n">
        <v>0</v>
      </c>
    </row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>
      <c r="A44" s="2" t="s">
        <v>0</v>
      </c>
      <c r="B44" s="2" t="s">
        <v>1</v>
      </c>
      <c r="C44" s="2" t="s">
        <v>73</v>
      </c>
      <c r="D44" s="2" t="s">
        <v>74</v>
      </c>
      <c r="E44" s="2" t="s">
        <v>75</v>
      </c>
      <c r="F44" s="2" t="s">
        <v>76</v>
      </c>
      <c r="G44" s="2" t="s">
        <v>77</v>
      </c>
      <c r="H44" s="2" t="s">
        <v>78</v>
      </c>
      <c r="I44" s="2" t="s">
        <v>79</v>
      </c>
      <c r="J44" s="2" t="s">
        <v>80</v>
      </c>
      <c r="K44" s="2" t="s">
        <v>81</v>
      </c>
      <c r="L44" s="2" t="s">
        <v>82</v>
      </c>
    </row>
    <row r="45" customFormat="false" ht="15" hidden="false" customHeight="true" outlineLevel="0" collapsed="false">
      <c r="B45" s="1" t="s">
        <v>83</v>
      </c>
      <c r="C45" s="1" t="n">
        <v>2000</v>
      </c>
      <c r="D45" s="1" t="n">
        <v>2000</v>
      </c>
      <c r="E45" s="1" t="n">
        <v>-2000</v>
      </c>
      <c r="F45" s="1" t="n">
        <v>2000</v>
      </c>
      <c r="G45" s="1" t="n">
        <v>0</v>
      </c>
      <c r="H45" s="1" t="n">
        <v>0</v>
      </c>
      <c r="I45" s="1" t="n">
        <v>0</v>
      </c>
      <c r="J45" s="1" t="n">
        <v>0</v>
      </c>
      <c r="K45" s="1" t="n">
        <v>0</v>
      </c>
      <c r="L45" s="1" t="n">
        <v>0</v>
      </c>
    </row>
    <row r="46" customFormat="false" ht="15" hidden="false" customHeight="true" outlineLevel="0" collapsed="false">
      <c r="B46" s="1" t="s">
        <v>84</v>
      </c>
      <c r="C46" s="1" t="n">
        <v>0</v>
      </c>
      <c r="D46" s="1" t="n">
        <v>-2000</v>
      </c>
      <c r="E46" s="1" t="n">
        <v>0</v>
      </c>
      <c r="F46" s="1" t="n">
        <v>0</v>
      </c>
      <c r="G46" s="1" t="n">
        <v>0</v>
      </c>
      <c r="H46" s="1" t="n">
        <v>2000</v>
      </c>
      <c r="I46" s="1" t="n">
        <v>0</v>
      </c>
      <c r="J46" s="1" t="n">
        <v>0</v>
      </c>
      <c r="K46" s="1" t="n">
        <v>0</v>
      </c>
      <c r="L46" s="1" t="n">
        <v>1</v>
      </c>
    </row>
    <row r="47" customFormat="false" ht="15" hidden="false" customHeight="true" outlineLevel="0" collapsed="false">
      <c r="B47" s="1" t="s">
        <v>85</v>
      </c>
      <c r="C47" s="1" t="n">
        <v>0</v>
      </c>
      <c r="D47" s="1" t="n">
        <v>3000</v>
      </c>
      <c r="E47" s="1" t="n">
        <v>0</v>
      </c>
      <c r="F47" s="1" t="n">
        <v>0</v>
      </c>
      <c r="G47" s="1" t="n">
        <v>0</v>
      </c>
      <c r="H47" s="1" t="n">
        <v>0</v>
      </c>
      <c r="I47" s="1" t="n">
        <v>3000</v>
      </c>
      <c r="J47" s="1" t="n">
        <v>0</v>
      </c>
      <c r="K47" s="1" t="n">
        <v>0</v>
      </c>
      <c r="L47" s="1" t="n">
        <v>0</v>
      </c>
    </row>
    <row r="48" customFormat="false" ht="15" hidden="false" customHeight="true" outlineLevel="0" collapsed="false">
      <c r="B48" s="1" t="s">
        <v>86</v>
      </c>
      <c r="C48" s="1" t="n">
        <v>0</v>
      </c>
      <c r="D48" s="1" t="n">
        <v>1000</v>
      </c>
      <c r="E48" s="1" t="n">
        <v>0</v>
      </c>
      <c r="F48" s="1" t="n">
        <v>0</v>
      </c>
      <c r="G48" s="1" t="n">
        <v>0</v>
      </c>
      <c r="H48" s="1" t="n">
        <v>0</v>
      </c>
      <c r="I48" s="1" t="n">
        <v>0</v>
      </c>
      <c r="J48" s="1" t="n">
        <v>1000</v>
      </c>
      <c r="K48" s="1" t="n">
        <v>0</v>
      </c>
      <c r="L48" s="1" t="n">
        <v>0</v>
      </c>
    </row>
    <row r="49" customFormat="false" ht="15" hidden="false" customHeight="true" outlineLevel="0" collapsed="false">
      <c r="B49" s="1" t="s">
        <v>87</v>
      </c>
      <c r="C49" s="1" t="n">
        <v>0</v>
      </c>
      <c r="D49" s="1" t="n">
        <v>-2000</v>
      </c>
      <c r="E49" s="1" t="n">
        <v>0</v>
      </c>
      <c r="F49" s="1" t="n">
        <v>0</v>
      </c>
      <c r="G49" s="1" t="n">
        <v>2000</v>
      </c>
      <c r="H49" s="1" t="n">
        <v>0</v>
      </c>
      <c r="I49" s="1" t="n">
        <v>0</v>
      </c>
      <c r="J49" s="1" t="n">
        <v>0</v>
      </c>
      <c r="K49" s="1" t="n">
        <v>0</v>
      </c>
      <c r="L49" s="1" t="n">
        <v>1</v>
      </c>
    </row>
    <row r="50" customFormat="false" ht="15" hidden="false" customHeight="true" outlineLevel="0" collapsed="false">
      <c r="B50" s="1" t="s">
        <v>88</v>
      </c>
      <c r="C50" s="1" t="n">
        <v>0</v>
      </c>
      <c r="D50" s="1" t="n">
        <v>2000</v>
      </c>
      <c r="E50" s="1" t="n">
        <v>0</v>
      </c>
      <c r="F50" s="1" t="n">
        <v>0</v>
      </c>
      <c r="G50" s="1" t="n">
        <v>0</v>
      </c>
      <c r="H50" s="1" t="n">
        <v>0</v>
      </c>
      <c r="I50" s="1" t="n">
        <v>2000</v>
      </c>
      <c r="J50" s="1" t="n">
        <v>0</v>
      </c>
      <c r="K50" s="1" t="n">
        <v>0</v>
      </c>
      <c r="L50" s="1" t="n">
        <v>0</v>
      </c>
    </row>
    <row r="51" customFormat="false" ht="15" hidden="false" customHeight="true" outlineLevel="0" collapsed="false">
      <c r="B51" s="1" t="s">
        <v>89</v>
      </c>
      <c r="C51" s="1" t="n">
        <v>0</v>
      </c>
      <c r="D51" s="1" t="n">
        <v>-2000</v>
      </c>
      <c r="E51" s="1" t="n">
        <v>0</v>
      </c>
      <c r="F51" s="1" t="n">
        <v>0</v>
      </c>
      <c r="G51" s="1" t="n">
        <v>2000</v>
      </c>
      <c r="H51" s="1" t="n">
        <v>0</v>
      </c>
      <c r="I51" s="1" t="n">
        <v>0</v>
      </c>
      <c r="J51" s="1" t="n">
        <v>0</v>
      </c>
      <c r="K51" s="1" t="n">
        <v>0</v>
      </c>
      <c r="L51" s="1" t="n">
        <v>1</v>
      </c>
    </row>
    <row r="52" customFormat="false" ht="15" hidden="false" customHeight="true" outlineLevel="0" collapsed="false">
      <c r="B52" s="1" t="s">
        <v>90</v>
      </c>
      <c r="C52" s="1" t="n">
        <v>1000</v>
      </c>
      <c r="D52" s="1" t="n">
        <v>1000</v>
      </c>
      <c r="E52" s="1" t="n">
        <v>0</v>
      </c>
      <c r="F52" s="1" t="n">
        <v>0</v>
      </c>
      <c r="G52" s="1" t="n">
        <v>0</v>
      </c>
      <c r="H52" s="1" t="n">
        <v>0</v>
      </c>
      <c r="I52" s="1" t="n">
        <v>0</v>
      </c>
      <c r="J52" s="1" t="n">
        <v>0</v>
      </c>
      <c r="K52" s="1" t="n">
        <v>0</v>
      </c>
      <c r="L52" s="1" t="n">
        <v>0</v>
      </c>
    </row>
    <row r="53" customFormat="false" ht="15" hidden="false" customHeight="true" outlineLevel="0" collapsed="false">
      <c r="B53" s="1" t="s">
        <v>91</v>
      </c>
      <c r="C53" s="1" t="n">
        <v>0</v>
      </c>
      <c r="D53" s="1" t="n">
        <v>-2000</v>
      </c>
      <c r="E53" s="1" t="n">
        <v>0</v>
      </c>
      <c r="F53" s="1" t="n">
        <v>0</v>
      </c>
      <c r="G53" s="1" t="n">
        <v>2000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1</v>
      </c>
    </row>
    <row r="54" customFormat="false" ht="15" hidden="false" customHeight="true" outlineLevel="0" collapsed="false">
      <c r="B54" s="1" t="s">
        <v>92</v>
      </c>
      <c r="C54" s="1" t="n">
        <v>3000</v>
      </c>
      <c r="D54" s="1" t="n">
        <v>0</v>
      </c>
      <c r="E54" s="1" t="n">
        <v>-3000</v>
      </c>
      <c r="F54" s="1" t="n">
        <v>3000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3000</v>
      </c>
      <c r="L54" s="1" t="n">
        <v>0</v>
      </c>
    </row>
    <row r="55" customFormat="false" ht="15" hidden="false" customHeight="true" outlineLevel="0" collapsed="false">
      <c r="B55" s="1" t="s">
        <v>93</v>
      </c>
      <c r="C55" s="1" t="n">
        <v>0</v>
      </c>
      <c r="D55" s="1" t="n">
        <v>2000</v>
      </c>
      <c r="E55" s="1" t="n">
        <v>0</v>
      </c>
      <c r="F55" s="1" t="n">
        <v>0</v>
      </c>
      <c r="G55" s="1" t="n">
        <v>0</v>
      </c>
      <c r="H55" s="1" t="n">
        <v>0</v>
      </c>
      <c r="I55" s="1" t="n">
        <v>2000</v>
      </c>
      <c r="J55" s="1" t="n">
        <v>0</v>
      </c>
      <c r="K55" s="1" t="n">
        <v>0</v>
      </c>
      <c r="L55" s="1" t="n">
        <v>0</v>
      </c>
    </row>
    <row r="56" customFormat="false" ht="15" hidden="false" customHeight="true" outlineLevel="0" collapsed="false">
      <c r="B56" s="1" t="s">
        <v>94</v>
      </c>
      <c r="C56" s="1" t="n">
        <v>0</v>
      </c>
      <c r="D56" s="1" t="n">
        <v>-2000</v>
      </c>
      <c r="E56" s="1" t="n">
        <v>0</v>
      </c>
      <c r="F56" s="1" t="n">
        <v>0</v>
      </c>
      <c r="G56" s="1" t="n">
        <v>2000</v>
      </c>
      <c r="H56" s="1" t="n">
        <v>0</v>
      </c>
      <c r="I56" s="1" t="n">
        <v>0</v>
      </c>
      <c r="J56" s="1" t="n">
        <v>0</v>
      </c>
      <c r="K56" s="1" t="n">
        <v>0</v>
      </c>
      <c r="L56" s="1" t="n">
        <v>0</v>
      </c>
    </row>
    <row r="57" customFormat="false" ht="15" hidden="false" customHeight="true" outlineLevel="0" collapsed="false">
      <c r="B57" s="1" t="s">
        <v>95</v>
      </c>
      <c r="C57" s="1" t="n">
        <v>0</v>
      </c>
      <c r="D57" s="1" t="n">
        <v>-3000</v>
      </c>
      <c r="E57" s="1" t="n">
        <v>0</v>
      </c>
      <c r="F57" s="1" t="n">
        <v>0</v>
      </c>
      <c r="G57" s="1" t="n">
        <v>3000</v>
      </c>
      <c r="H57" s="1" t="n">
        <v>0</v>
      </c>
      <c r="I57" s="1" t="n">
        <v>0</v>
      </c>
      <c r="J57" s="1" t="n">
        <v>0</v>
      </c>
      <c r="K57" s="1" t="n">
        <v>0</v>
      </c>
      <c r="L57" s="1" t="n">
        <v>1</v>
      </c>
    </row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>
      <c r="A64" s="2" t="s">
        <v>96</v>
      </c>
      <c r="B64" s="2" t="s">
        <v>97</v>
      </c>
      <c r="C64" s="2" t="s">
        <v>98</v>
      </c>
      <c r="D64" s="2" t="s">
        <v>99</v>
      </c>
      <c r="E64" s="2" t="s">
        <v>100</v>
      </c>
      <c r="F64" s="2" t="s">
        <v>101</v>
      </c>
      <c r="G64" s="2" t="s">
        <v>102</v>
      </c>
      <c r="H64" s="2" t="s">
        <v>103</v>
      </c>
      <c r="I64" s="2" t="s">
        <v>104</v>
      </c>
      <c r="J64" s="2" t="s">
        <v>105</v>
      </c>
    </row>
    <row r="65" customFormat="false" ht="15" hidden="false" customHeight="true" outlineLevel="0" collapsed="false">
      <c r="A65" s="1" t="s">
        <v>106</v>
      </c>
      <c r="B65" s="1" t="s">
        <v>107</v>
      </c>
      <c r="C65" s="1" t="s">
        <v>108</v>
      </c>
      <c r="D65" s="1" t="s">
        <v>109</v>
      </c>
      <c r="E65" s="1" t="n">
        <v>16000</v>
      </c>
      <c r="F65" s="1" t="n">
        <v>2</v>
      </c>
      <c r="G65" s="1" t="n">
        <v>4000</v>
      </c>
      <c r="H65" s="1" t="n">
        <v>8000</v>
      </c>
      <c r="I65" s="1" t="n">
        <v>20000</v>
      </c>
      <c r="J65" s="1" t="n">
        <v>8000</v>
      </c>
    </row>
    <row r="66" customFormat="false" ht="15" hidden="false" customHeight="true" outlineLevel="0" collapsed="false">
      <c r="A66" s="1" t="s">
        <v>110</v>
      </c>
      <c r="B66" s="1" t="s">
        <v>111</v>
      </c>
      <c r="C66" s="1" t="s">
        <v>112</v>
      </c>
      <c r="D66" s="1" t="s">
        <v>113</v>
      </c>
      <c r="E66" s="1" t="n">
        <v>16000</v>
      </c>
      <c r="F66" s="1" t="n">
        <v>2</v>
      </c>
      <c r="G66" s="1" t="n">
        <v>4000</v>
      </c>
      <c r="H66" s="1" t="n">
        <v>8000</v>
      </c>
      <c r="I66" s="1" t="n">
        <v>20000</v>
      </c>
      <c r="J66" s="1" t="n">
        <v>8000</v>
      </c>
    </row>
    <row r="67" customFormat="false" ht="15" hidden="false" customHeight="true" outlineLevel="0" collapsed="false">
      <c r="A67" s="1" t="s">
        <v>114</v>
      </c>
      <c r="B67" s="1" t="s">
        <v>115</v>
      </c>
      <c r="C67" s="1" t="s">
        <v>116</v>
      </c>
      <c r="D67" s="1" t="s">
        <v>117</v>
      </c>
      <c r="E67" s="1" t="n">
        <v>16000</v>
      </c>
      <c r="F67" s="1" t="n">
        <v>2</v>
      </c>
      <c r="G67" s="1" t="n">
        <v>4000</v>
      </c>
      <c r="H67" s="1" t="n">
        <v>8000</v>
      </c>
      <c r="I67" s="1" t="n">
        <v>20000</v>
      </c>
      <c r="J67" s="1" t="n">
        <v>8000</v>
      </c>
    </row>
    <row r="68" customFormat="false" ht="15" hidden="false" customHeight="true" outlineLevel="0" collapsed="false">
      <c r="A68" s="1" t="s">
        <v>118</v>
      </c>
      <c r="B68" s="1" t="s">
        <v>119</v>
      </c>
      <c r="C68" s="1" t="s">
        <v>34</v>
      </c>
      <c r="D68" s="1" t="s">
        <v>120</v>
      </c>
      <c r="E68" s="1" t="n">
        <v>13000</v>
      </c>
      <c r="F68" s="1" t="n">
        <v>2</v>
      </c>
      <c r="G68" s="1" t="n">
        <v>4000</v>
      </c>
      <c r="H68" s="1" t="n">
        <v>8000</v>
      </c>
      <c r="I68" s="1" t="n">
        <v>17000</v>
      </c>
      <c r="J68" s="1" t="n">
        <v>8000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1" width="6"/>
    <col collapsed="false" customWidth="true" hidden="false" outlineLevel="0" max="5" min="4" style="1" width="10"/>
    <col collapsed="false" customWidth="true" hidden="false" outlineLevel="0" max="6" min="6" style="1" width="14"/>
    <col collapsed="false" customWidth="true" hidden="false" outlineLevel="0" max="9" min="7" style="1" width="22"/>
    <col collapsed="false" customWidth="true" hidden="false" outlineLevel="0" max="34" min="10" style="1" width="12"/>
  </cols>
  <sheetData>
    <row r="1" customFormat="false" ht="30" hidden="false" customHeight="true" outlineLevel="0" collapsed="false">
      <c r="A1" s="3" t="s">
        <v>121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customFormat="false" ht="19.5" hidden="false" customHeight="true" outlineLevel="0" collapsed="false">
      <c r="A2" s="4" t="s">
        <v>122</v>
      </c>
      <c r="B2" s="5" t="s">
        <v>106</v>
      </c>
      <c r="C2" s="6"/>
      <c r="D2" s="4" t="s">
        <v>123</v>
      </c>
      <c r="E2" s="5" t="n">
        <v>6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</row>
    <row r="3" customFormat="false" ht="1.5" hidden="false" customHeight="true" outlineLevel="0" collapsed="false"/>
    <row r="4" customFormat="false" ht="21.75" hidden="false" customHeight="true" outlineLevel="0" collapsed="false">
      <c r="A4" s="7" t="s">
        <v>124</v>
      </c>
      <c r="B4" s="7"/>
      <c r="C4" s="7"/>
      <c r="D4" s="8" t="s">
        <v>125</v>
      </c>
      <c r="E4" s="8"/>
      <c r="F4" s="8"/>
      <c r="G4" s="8"/>
      <c r="H4" s="8"/>
      <c r="I4" s="8"/>
      <c r="J4" s="9" t="s">
        <v>126</v>
      </c>
      <c r="K4" s="9"/>
      <c r="L4" s="9"/>
      <c r="M4" s="9"/>
      <c r="N4" s="9"/>
      <c r="O4" s="9"/>
      <c r="P4" s="9"/>
      <c r="Q4" s="9"/>
      <c r="R4" s="10" t="s">
        <v>127</v>
      </c>
      <c r="S4" s="10"/>
      <c r="T4" s="10"/>
      <c r="U4" s="10"/>
      <c r="V4" s="11" t="s">
        <v>128</v>
      </c>
      <c r="W4" s="11"/>
      <c r="X4" s="11"/>
      <c r="Y4" s="11"/>
      <c r="Z4" s="11"/>
      <c r="AA4" s="11"/>
      <c r="AB4" s="11"/>
      <c r="AC4" s="11"/>
      <c r="AD4" s="12" t="s">
        <v>129</v>
      </c>
      <c r="AE4" s="13" t="s">
        <v>130</v>
      </c>
      <c r="AF4" s="13"/>
      <c r="AG4" s="13"/>
      <c r="AH4" s="13"/>
    </row>
    <row r="5" customFormat="false" ht="39.75" hidden="false" customHeight="true" outlineLevel="0" collapsed="false">
      <c r="A5" s="14" t="s">
        <v>131</v>
      </c>
      <c r="B5" s="14" t="s">
        <v>132</v>
      </c>
      <c r="C5" s="14" t="s">
        <v>133</v>
      </c>
      <c r="D5" s="15" t="s">
        <v>134</v>
      </c>
      <c r="E5" s="15" t="s">
        <v>135</v>
      </c>
      <c r="F5" s="15" t="s">
        <v>136</v>
      </c>
      <c r="G5" s="15" t="s">
        <v>137</v>
      </c>
      <c r="H5" s="15" t="s">
        <v>138</v>
      </c>
      <c r="I5" s="15" t="s">
        <v>139</v>
      </c>
      <c r="J5" s="16" t="s">
        <v>140</v>
      </c>
      <c r="K5" s="16" t="s">
        <v>141</v>
      </c>
      <c r="L5" s="16" t="s">
        <v>142</v>
      </c>
      <c r="M5" s="16" t="s">
        <v>143</v>
      </c>
      <c r="N5" s="16" t="s">
        <v>144</v>
      </c>
      <c r="O5" s="16" t="s">
        <v>145</v>
      </c>
      <c r="P5" s="16" t="s">
        <v>146</v>
      </c>
      <c r="Q5" s="16" t="s">
        <v>147</v>
      </c>
      <c r="R5" s="17" t="s">
        <v>148</v>
      </c>
      <c r="S5" s="17" t="s">
        <v>149</v>
      </c>
      <c r="T5" s="17" t="s">
        <v>150</v>
      </c>
      <c r="U5" s="17" t="s">
        <v>151</v>
      </c>
      <c r="V5" s="18" t="s">
        <v>152</v>
      </c>
      <c r="W5" s="18" t="s">
        <v>153</v>
      </c>
      <c r="X5" s="18" t="s">
        <v>154</v>
      </c>
      <c r="Y5" s="18" t="s">
        <v>155</v>
      </c>
      <c r="Z5" s="18" t="s">
        <v>156</v>
      </c>
      <c r="AA5" s="18" t="s">
        <v>157</v>
      </c>
      <c r="AB5" s="18" t="s">
        <v>158</v>
      </c>
      <c r="AC5" s="18" t="s">
        <v>159</v>
      </c>
      <c r="AD5" s="19" t="s">
        <v>160</v>
      </c>
      <c r="AE5" s="20" t="s">
        <v>161</v>
      </c>
      <c r="AF5" s="20" t="s">
        <v>162</v>
      </c>
      <c r="AG5" s="20" t="s">
        <v>163</v>
      </c>
      <c r="AH5" s="20" t="s">
        <v>164</v>
      </c>
    </row>
    <row r="6" customFormat="false" ht="19.5" hidden="false" customHeight="true" outlineLevel="0" collapsed="false">
      <c r="A6" s="21" t="n">
        <v>0</v>
      </c>
      <c r="B6" s="21" t="n">
        <f aca="false">QUOTIENT(A6-1,4)+1</f>
        <v>1</v>
      </c>
      <c r="C6" s="21" t="n">
        <f aca="false">MOD(A6-1,4)+1</f>
        <v>4</v>
      </c>
      <c r="D6" s="22" t="s">
        <v>165</v>
      </c>
      <c r="E6" s="22" t="s">
        <v>165</v>
      </c>
      <c r="F6" s="22" t="s">
        <v>165</v>
      </c>
      <c r="G6" s="22" t="s">
        <v>165</v>
      </c>
      <c r="H6" s="22" t="s">
        <v>165</v>
      </c>
      <c r="I6" s="22" t="s">
        <v>165</v>
      </c>
      <c r="J6" s="23" t="n">
        <f aca="false">IFERROR(VLOOKUP($B$2,Données!$A$60:$J$63,5,FALSE()),0)</f>
        <v>0</v>
      </c>
      <c r="K6" s="23" t="n">
        <f aca="false">IFERROR(VLOOKUP($B$2,Données!$A$60:$J$63,7,FALSE()),0)</f>
        <v>0</v>
      </c>
      <c r="L6" s="23" t="n">
        <f aca="false">IFERROR(VLOOKUP($B$2,Données!$A$60:$J$63,8,FALSE()),0)</f>
        <v>0</v>
      </c>
      <c r="M6" s="23" t="n">
        <v>0</v>
      </c>
      <c r="N6" s="23" t="n">
        <v>0</v>
      </c>
      <c r="O6" s="23" t="n">
        <v>0</v>
      </c>
      <c r="P6" s="23" t="n">
        <f aca="false">IFERROR(VLOOKUP($B$2,Données!$A$60:$J$63,10,FALSE()),0)</f>
        <v>0</v>
      </c>
      <c r="Q6" s="23" t="n">
        <f aca="false">IFERROR(VLOOKUP($B$2,Données!$A$60:$J$63,9,FALSE()),0)</f>
        <v>0</v>
      </c>
      <c r="R6" s="23" t="n">
        <f aca="false">J6+K6+MAX(0,L6)+M6+N6</f>
        <v>0</v>
      </c>
      <c r="S6" s="23" t="n">
        <f aca="false">Q6+P6+O6+MAX(0,-L6)+T6</f>
        <v>0</v>
      </c>
      <c r="T6" s="23" t="n">
        <f aca="false">R6-Q6-P6-O6-MAX(0,-L6)</f>
        <v>0</v>
      </c>
      <c r="U6" s="23" t="str">
        <f aca="false">IF(ABS(R6-S6)&lt;0.01,"✓","⚠")</f>
        <v>✓</v>
      </c>
      <c r="V6" s="23" t="n">
        <v>0</v>
      </c>
      <c r="W6" s="23" t="n">
        <v>0</v>
      </c>
      <c r="X6" s="23" t="n">
        <v>0</v>
      </c>
      <c r="Y6" s="23" t="n">
        <v>0</v>
      </c>
      <c r="Z6" s="23" t="n">
        <v>0</v>
      </c>
      <c r="AA6" s="23" t="n">
        <v>0</v>
      </c>
      <c r="AB6" s="23" t="n">
        <v>0</v>
      </c>
      <c r="AC6" s="23" t="n">
        <f aca="false">V6-W6-X6-Y6-Z6+AA6-AB6</f>
        <v>0</v>
      </c>
      <c r="AD6" s="23" t="n">
        <f aca="false">T6*3+J6*2+MAX(0,L6)+Q6-MAX(0,-L6)</f>
        <v>0</v>
      </c>
      <c r="AE6" s="24" t="n">
        <v>0</v>
      </c>
      <c r="AF6" s="24" t="n">
        <v>0</v>
      </c>
      <c r="AG6" s="24" t="n">
        <v>0</v>
      </c>
      <c r="AH6" s="24" t="n">
        <v>0</v>
      </c>
    </row>
    <row r="7" customFormat="false" ht="19.5" hidden="false" customHeight="true" outlineLevel="0" collapsed="false">
      <c r="A7" s="1" t="n">
        <f aca="false">IF(A6+1&lt;=$E$2,1,"")</f>
        <v>1</v>
      </c>
      <c r="B7" s="1" t="n">
        <f aca="false">IF(A7="","",QUOTIENT(A7-1,4)+1)</f>
        <v>1</v>
      </c>
      <c r="C7" s="1" t="n">
        <f aca="false">IF(A7="","",MOD(A7-1,4)+1)</f>
        <v>1</v>
      </c>
      <c r="D7" s="25"/>
      <c r="E7" s="25"/>
      <c r="F7" s="25"/>
      <c r="G7" s="25"/>
      <c r="H7" s="25"/>
      <c r="I7" s="25"/>
      <c r="J7" s="26" t="n">
        <f aca="false">IF(A7="","",MAX(0,J6+IFERROR(VLOOKUP(H7,Données!$B$2:$R$33,3,FALSE()),0)-(2+IF(IFERROR(VLOOKUP(H7,Données!$B$2:$R$33,3,FALSE()),0)&gt;0,1,0))))</f>
        <v>0</v>
      </c>
      <c r="K7" s="26" t="n">
        <f aca="false">IF(A7="","",MAX(0,K6+E7+IF($B$2="Manufacture Belvaux",1,0)+IFERROR(VLOOKUP(I7,Données!$B$44:$L$57,4,FALSE()),0)-(COUNTIF($G$7:G7,"Commercial Junior")+COUNTIF($G$7:G7,"Commercial Senior")+COUNTIF($G$7:G7,"Directrice Commerciale"))*2-IF($B$2="Azura Commerce",1,0)+IFERROR(VLOOKUP(H7,Données!$B$2:$V$38,19,FALSE()),0)+SUMPRODUCT(IFERROR(VLOOKUP($H$7:H7,Données!$B$2:$V$38,20,FALSE()),0))))</f>
        <v>1</v>
      </c>
      <c r="L7" s="26" t="n">
        <f aca="false">IF(A7="","",L6+D7-IF(F7="Comptant",E7,0)+COUNTIF($G$7:G7,"Commercial Junior")*4+IF($B$2="Véloce Transports",COUNTIF($G$7:G7,"Commercial Senior")*6,0)+IF($B$2="Azura Commerce",2,0)+M6+IFERROR(VLOOKUP(H7,Données!$B$2:$R$33,4,FALSE()),0)+SUMPRODUCT(IFERROR(VLOOKUP($H$7:H7,Données!$B$2:$R$33,10,FALSE()),0))+IFERROR(VLOOKUP(I7,Données!$B$39:$L$52,3,FALSE()),0)-(COUNTIF($G$7:G7,"Commercial Junior")*1+COUNTIF($G$7:G7,"Commercial Senior")*2+COUNTIF($G$7:G7,"Directrice Commerciale")*3)-IF(MOD(A7-1,4)=0,MAX(1,ROUND(P6*0.05,0)),0)+IF($B$2="Synergia Lab",1,0))</f>
        <v>-1</v>
      </c>
      <c r="M7" s="26" t="n">
        <f aca="false">IF(A7="","",N6+IF($B$2&lt;&gt;"Véloce Transports",COUNTIF($G$7:G7,"Commercial Senior")*6,0))</f>
        <v>0</v>
      </c>
      <c r="N7" s="26" t="n">
        <f aca="false">IF(A7="","",COUNTIF($G$7:G7,"Directrice Commerciale")*8+IFERROR(VLOOKUP(I7,Données!$B$39:$L$52,10,FALSE()),0))</f>
        <v>0</v>
      </c>
      <c r="O7" s="26" t="n">
        <f aca="false">IF(A7="","",O6+IF(F7="Crédit",E7,0))</f>
        <v>0</v>
      </c>
      <c r="P7" s="26" t="n">
        <f aca="false">IF(A7="","",P6+D7+IFERROR(VLOOKUP(H7,Données!$B$2:$R$33,5,FALSE()),0))</f>
        <v>0</v>
      </c>
      <c r="Q7" s="26" t="n">
        <f aca="false">IF(A7="","",Q6+IFERROR(VLOOKUP(H7,Données!$B$2:$R$33,6,FALSE()),0))</f>
        <v>0</v>
      </c>
      <c r="R7" s="27" t="n">
        <f aca="false">IF(A7="","",J7+K7+MAX(0,L7)+M7+N7)</f>
        <v>1</v>
      </c>
      <c r="S7" s="27" t="n">
        <f aca="false">IF(A7="","",Q7+P7+O7+MAX(0,-L7)+T7)</f>
        <v>1</v>
      </c>
      <c r="T7" s="27" t="n">
        <f aca="false">IF(A7="","",R7-Q7-P7-O7-MAX(0,-L7))</f>
        <v>0</v>
      </c>
      <c r="U7" s="27" t="str">
        <f aca="false">IF(A7="","",IF(ABS(R7-S7)&lt;0.01,"✓","⚠"))</f>
        <v>✓</v>
      </c>
      <c r="V7" s="28" t="n">
        <f aca="false">IF(A7="","",V6+COUNTIF($G$7:G7,"Commercial Junior")*4+COUNTIF($G$7:G7,"Commercial Senior")*6+COUNTIF($G$7:G7,"Directrice Commerciale")*8+IF($B$2="Azura Commerce",2,0)+IFERROR(VLOOKUP(I7,Données!$B$44:$L$57,2,FALSE()),0))</f>
        <v>0</v>
      </c>
      <c r="W7" s="28" t="n">
        <f aca="false">IF(A7="","",W6+(COUNTIF($G$7:G7,"Commercial Junior")+COUNTIF($G$7:G7,"Commercial Senior")+COUNTIF($G$7:G7,"Directrice Commerciale"))*2+IF($B$2="Azura Commerce",1,0)+IFERROR(VLOOKUP(I7,Données!$B$44:$L$57,5,FALSE()),0)+SUMPRODUCT(IFERROR(VLOOKUP($H$7:H7,Données!$B$2:$V$38,22,FALSE()),0)))</f>
        <v>0</v>
      </c>
      <c r="X7" s="28" t="n">
        <f aca="false">IF(A7="","",X6+COUNTIF($G$7:G7,"Commercial Junior")*1+COUNTIF($G$7:G7,"Commercial Senior")*2+COUNTIF($G$7:G7,"Directrice Commerciale")*3+SUMPRODUCT(IFERROR(VLOOKUP($H$7:H7,Données!$B$2:$V$38,12,FALSE()),0)))</f>
        <v>0</v>
      </c>
      <c r="Y7" s="28" t="n">
        <f aca="false">IF(A7="","",Y6+IF(MOD(A7-1,4)=0,MAX(1,ROUND(P6*0.05,0)),0)+SUMPRODUCT(IFERROR(VLOOKUP($H$7:H7,Données!$B$2:$V$38,11,FALSE()),0)))</f>
        <v>1</v>
      </c>
      <c r="Z7" s="28" t="n">
        <f aca="false">IF(A7="","",MAX(0,Z6+MIN(J6+IFERROR(VLOOKUP(H7,Données!$B$2:$V$38,3,FALSE()),0),2+IF(IFERROR(VLOOKUP(H7,Données!$B$2:$V$38,3,FALSE()),0)&gt;0,1,0))+SUMPRODUCT(IFERROR(VLOOKUP($H$7:H7,Données!$B$2:$V$38,21,FALSE()),0))))</f>
        <v>0</v>
      </c>
      <c r="AA7" s="28" t="n">
        <f aca="false">IF(A7="","",AA6+IFERROR(VLOOKUP(I7,Données!$B$39:$L$52,8,FALSE()),0)+SUMPRODUCT(IFERROR(VLOOKUP($H$7:H7,Données!$B$2:$R$33,13,FALSE()),0)))</f>
        <v>0</v>
      </c>
      <c r="AB7" s="28" t="n">
        <f aca="false">IF(A7="","",AB6+IFERROR(VLOOKUP(I7,Données!$B$39:$L$52,6,FALSE()),0)+IFERROR(VLOOKUP(I7,Données!$B$39:$L$52,7,FALSE()),0))</f>
        <v>0</v>
      </c>
      <c r="AC7" s="28" t="n">
        <f aca="false">IF(A7="","",V7-W7-X7-Y7-Z7+AA7-AB7)</f>
        <v>-1</v>
      </c>
      <c r="AD7" s="29" t="n">
        <f aca="false">IF(A7="","",T7*3+J7*2+MAX(0,L7)+Q7-MAX(0,-L7))</f>
        <v>-1</v>
      </c>
      <c r="AE7" s="30" t="n">
        <f aca="false">IF(A7="","",L7-L6)</f>
        <v>-1</v>
      </c>
      <c r="AF7" s="30" t="n">
        <f aca="false">IF(A7="","",T7-T6)</f>
        <v>0</v>
      </c>
      <c r="AG7" s="30" t="n">
        <f aca="false">IF(A7="","",V7-V6)</f>
        <v>0</v>
      </c>
      <c r="AH7" s="30" t="n">
        <f aca="false">IF(A7="","",W7+X7+Y7+Z7-W6-X6-Y6-Z6)</f>
        <v>1</v>
      </c>
    </row>
    <row r="8" customFormat="false" ht="19.5" hidden="false" customHeight="true" outlineLevel="0" collapsed="false">
      <c r="A8" s="1" t="n">
        <f aca="false">IF(A6+2&lt;=$E$2,2,"")</f>
        <v>2</v>
      </c>
      <c r="B8" s="1" t="n">
        <f aca="false">IF(A8="","",QUOTIENT(A8-1,4)+1)</f>
        <v>1</v>
      </c>
      <c r="C8" s="1" t="n">
        <f aca="false">IF(A8="","",MOD(A8-1,4)+1)</f>
        <v>2</v>
      </c>
      <c r="D8" s="25"/>
      <c r="E8" s="25"/>
      <c r="F8" s="25"/>
      <c r="G8" s="25"/>
      <c r="H8" s="25"/>
      <c r="I8" s="25"/>
      <c r="J8" s="26" t="n">
        <f aca="false">IF(A8="","",MAX(0,J7+IFERROR(VLOOKUP(H8,Données!$B$2:$R$33,3,FALSE()),0)-(2+IF(IFERROR(VLOOKUP(H8,Données!$B$2:$R$33,3,FALSE()),0)&gt;0,1,0))))</f>
        <v>0</v>
      </c>
      <c r="K8" s="26" t="n">
        <f aca="false">IF(A8="","",MAX(0,K7+E8+IF($B$2="Manufacture Belvaux",1,0)+IFERROR(VLOOKUP(I8,Données!$B$44:$L$57,4,FALSE()),0)-(COUNTIF($G$7:G7,"Commercial Junior")+COUNTIF($G$7:G7,"Commercial Senior")+COUNTIF($G$7:G7,"Directrice Commerciale"))*2-IF($B$2="Azura Commerce",1,0)+IFERROR(VLOOKUP(H8,Données!$B$2:$V$38,19,FALSE()),0)+SUMPRODUCT(IFERROR(VLOOKUP($H$7:H8,Données!$B$2:$V$38,20,FALSE()),0))))</f>
        <v>2</v>
      </c>
      <c r="L8" s="26" t="n">
        <f aca="false">IF(A8="","",L7+D8-IF(F8="Comptant",E8,0)+COUNTIF($G$7:G8,"Commercial Junior")*4+IF($B$2="Véloce Transports",COUNTIF($G$7:G8,"Commercial Senior")*6,0)+IF($B$2="Azura Commerce",2,0)+M7+IFERROR(VLOOKUP(H8,Données!$B$2:$R$33,4,FALSE()),0)+SUMPRODUCT(IFERROR(VLOOKUP($H$7:H8,Données!$B$2:$R$33,10,FALSE()),0))+IFERROR(VLOOKUP(I8,Données!$B$39:$L$52,3,FALSE()),0)-(COUNTIF($G$7:G8,"Commercial Junior")*1+COUNTIF($G$7:G8,"Commercial Senior")*2+COUNTIF($G$7:G8,"Directrice Commerciale")*3)-IF(MOD(A8-1,4)=0,MAX(1,ROUND(P7*0.05,0)),0)+IF($B$2="Synergia Lab",1,0))</f>
        <v>-1</v>
      </c>
      <c r="M8" s="26" t="n">
        <f aca="false">IF(A8="","",N7+IF($B$2&lt;&gt;"Véloce Transports",COUNTIF($G$7:G8,"Commercial Senior")*6,0))</f>
        <v>0</v>
      </c>
      <c r="N8" s="26" t="n">
        <f aca="false">IF(A8="","",COUNTIF($G$7:G8,"Directrice Commerciale")*8+IFERROR(VLOOKUP(I8,Données!$B$39:$L$52,10,FALSE()),0))</f>
        <v>0</v>
      </c>
      <c r="O8" s="26" t="n">
        <f aca="false">IF(A8="","",O7+IF(F8="Crédit",E8,0))</f>
        <v>0</v>
      </c>
      <c r="P8" s="26" t="n">
        <f aca="false">IF(A8="","",P7+D8+IFERROR(VLOOKUP(H8,Données!$B$2:$R$33,5,FALSE()),0))</f>
        <v>0</v>
      </c>
      <c r="Q8" s="26" t="n">
        <f aca="false">IF(A8="","",Q7+IFERROR(VLOOKUP(H8,Données!$B$2:$R$33,6,FALSE()),0))</f>
        <v>0</v>
      </c>
      <c r="R8" s="27" t="n">
        <f aca="false">IF(A8="","",J8+K8+MAX(0,L8)+M8+N8)</f>
        <v>2</v>
      </c>
      <c r="S8" s="27" t="n">
        <f aca="false">IF(A8="","",Q8+P8+O8+MAX(0,-L8)+T8)</f>
        <v>2</v>
      </c>
      <c r="T8" s="27" t="n">
        <f aca="false">IF(A8="","",R8-Q8-P8-O8-MAX(0,-L8))</f>
        <v>1</v>
      </c>
      <c r="U8" s="27" t="str">
        <f aca="false">IF(A8="","",IF(ABS(R8-S8)&lt;0.01,"✓","⚠"))</f>
        <v>✓</v>
      </c>
      <c r="V8" s="28" t="n">
        <f aca="false">IF(A8="","",V7+COUNTIF($G$7:G7,"Commercial Junior")*4+COUNTIF($G$7:G7,"Commercial Senior")*6+COUNTIF($G$7:G7,"Directrice Commerciale")*8+IF($B$2="Azura Commerce",2,0)+IFERROR(VLOOKUP(I8,Données!$B$44:$L$57,2,FALSE()),0))</f>
        <v>0</v>
      </c>
      <c r="W8" s="28" t="n">
        <f aca="false">IF(A8="","",W7+(COUNTIF($G$7:G7,"Commercial Junior")+COUNTIF($G$7:G7,"Commercial Senior")+COUNTIF($G$7:G7,"Directrice Commerciale"))*2+IF($B$2="Azura Commerce",1,0)+IFERROR(VLOOKUP(I8,Données!$B$44:$L$57,5,FALSE()),0)+SUMPRODUCT(IFERROR(VLOOKUP($H$7:H8,Données!$B$2:$V$38,22,FALSE()),0)))</f>
        <v>0</v>
      </c>
      <c r="X8" s="28" t="n">
        <f aca="false">IF(A8="","",X7+COUNTIF($G$7:G7,"Commercial Junior")*1+COUNTIF($G$7:G7,"Commercial Senior")*2+COUNTIF($G$7:G7,"Directrice Commerciale")*3+SUMPRODUCT(IFERROR(VLOOKUP($H$7:H8,Données!$B$2:$V$38,12,FALSE()),0)))</f>
        <v>0</v>
      </c>
      <c r="Y8" s="28" t="n">
        <f aca="false">IF(A8="","",Y7+IF(MOD(A8-1,4)=0,MAX(1,ROUND(P7*0.05,0)),0)+SUMPRODUCT(IFERROR(VLOOKUP($H$7:H8,Données!$B$2:$V$38,11,FALSE()),0)))</f>
        <v>1</v>
      </c>
      <c r="Z8" s="28" t="n">
        <f aca="false">IF(A8="","",MAX(0,Z7+MIN(J7+IFERROR(VLOOKUP(H8,Données!$B$2:$V$38,3,FALSE()),0),2+IF(IFERROR(VLOOKUP(H8,Données!$B$2:$V$38,3,FALSE()),0)&gt;0,1,0))+SUMPRODUCT(IFERROR(VLOOKUP($H$7:H8,Données!$B$2:$V$38,21,FALSE()),0))))</f>
        <v>0</v>
      </c>
      <c r="AA8" s="28" t="n">
        <f aca="false">IF(A8="","",AA7+IFERROR(VLOOKUP(I8,Données!$B$39:$L$52,8,FALSE()),0)+SUMPRODUCT(IFERROR(VLOOKUP($H$7:H8,Données!$B$2:$R$33,13,FALSE()),0)))</f>
        <v>0</v>
      </c>
      <c r="AB8" s="28" t="n">
        <f aca="false">IF(A8="","",AB7+IFERROR(VLOOKUP(I8,Données!$B$39:$L$52,6,FALSE()),0)+IFERROR(VLOOKUP(I8,Données!$B$39:$L$52,7,FALSE()),0))</f>
        <v>0</v>
      </c>
      <c r="AC8" s="28" t="n">
        <f aca="false">IF(A8="","",V8-W8-X8-Y8-Z8+AA8-AB8)</f>
        <v>-1</v>
      </c>
      <c r="AD8" s="29" t="n">
        <f aca="false">IF(A8="","",T8*3+J8*2+MAX(0,L8)+Q8-MAX(0,-L8))</f>
        <v>2</v>
      </c>
      <c r="AE8" s="30" t="n">
        <f aca="false">IF(A8="","",L8-L7)</f>
        <v>0</v>
      </c>
      <c r="AF8" s="30" t="n">
        <f aca="false">IF(A8="","",T8-T7)</f>
        <v>1</v>
      </c>
      <c r="AG8" s="30" t="n">
        <f aca="false">IF(A8="","",V8-V7)</f>
        <v>0</v>
      </c>
      <c r="AH8" s="30" t="n">
        <f aca="false">IF(A8="","",W8+X8+Y8+Z8-W7-X7-Y7-Z7)</f>
        <v>0</v>
      </c>
    </row>
    <row r="9" customFormat="false" ht="19.5" hidden="false" customHeight="true" outlineLevel="0" collapsed="false">
      <c r="A9" s="1" t="n">
        <f aca="false">IF(A6+3&lt;=$E$2,3,"")</f>
        <v>3</v>
      </c>
      <c r="B9" s="1" t="n">
        <f aca="false">IF(A9="","",QUOTIENT(A9-1,4)+1)</f>
        <v>1</v>
      </c>
      <c r="C9" s="1" t="n">
        <f aca="false">IF(A9="","",MOD(A9-1,4)+1)</f>
        <v>3</v>
      </c>
      <c r="D9" s="25"/>
      <c r="E9" s="25"/>
      <c r="F9" s="25"/>
      <c r="G9" s="25"/>
      <c r="H9" s="25"/>
      <c r="I9" s="25"/>
      <c r="J9" s="26" t="n">
        <f aca="false">IF(A9="","",MAX(0,J8+IFERROR(VLOOKUP(H9,Données!$B$2:$R$33,3,FALSE()),0)-(2+IF(IFERROR(VLOOKUP(H9,Données!$B$2:$R$33,3,FALSE()),0)&gt;0,1,0))))</f>
        <v>0</v>
      </c>
      <c r="K9" s="26" t="n">
        <f aca="false">IF(A9="","",MAX(0,K8+E9+IF($B$2="Manufacture Belvaux",1,0)+IFERROR(VLOOKUP(I9,Données!$B$44:$L$57,4,FALSE()),0)-(COUNTIF($G$7:G7,"Commercial Junior")+COUNTIF($G$7:G7,"Commercial Senior")+COUNTIF($G$7:G7,"Directrice Commerciale"))*2-IF($B$2="Azura Commerce",1,0)+IFERROR(VLOOKUP(H9,Données!$B$2:$V$38,19,FALSE()),0)+SUMPRODUCT(IFERROR(VLOOKUP($H$7:H9,Données!$B$2:$V$38,20,FALSE()),0))))</f>
        <v>3</v>
      </c>
      <c r="L9" s="26" t="n">
        <f aca="false">IF(A9="","",L8+D9-IF(F9="Comptant",E9,0)+COUNTIF($G$7:G9,"Commercial Junior")*4+IF($B$2="Véloce Transports",COUNTIF($G$7:G9,"Commercial Senior")*6,0)+IF($B$2="Azura Commerce",2,0)+M8+IFERROR(VLOOKUP(H9,Données!$B$2:$R$33,4,FALSE()),0)+SUMPRODUCT(IFERROR(VLOOKUP($H$7:H9,Données!$B$2:$R$33,10,FALSE()),0))+IFERROR(VLOOKUP(I9,Données!$B$39:$L$52,3,FALSE()),0)-(COUNTIF($G$7:G9,"Commercial Junior")*1+COUNTIF($G$7:G9,"Commercial Senior")*2+COUNTIF($G$7:G9,"Directrice Commerciale")*3)-IF(MOD(A9-1,4)=0,MAX(1,ROUND(P8*0.05,0)),0)+IF($B$2="Synergia Lab",1,0))</f>
        <v>-1</v>
      </c>
      <c r="M9" s="26" t="n">
        <f aca="false">IF(A9="","",N8+IF($B$2&lt;&gt;"Véloce Transports",COUNTIF($G$7:G9,"Commercial Senior")*6,0))</f>
        <v>0</v>
      </c>
      <c r="N9" s="26" t="n">
        <f aca="false">IF(A9="","",COUNTIF($G$7:G9,"Directrice Commerciale")*8+IFERROR(VLOOKUP(I9,Données!$B$39:$L$52,10,FALSE()),0))</f>
        <v>0</v>
      </c>
      <c r="O9" s="26" t="n">
        <f aca="false">IF(A9="","",O8+IF(F9="Crédit",E9,0))</f>
        <v>0</v>
      </c>
      <c r="P9" s="26" t="n">
        <f aca="false">IF(A9="","",P8+D9+IFERROR(VLOOKUP(H9,Données!$B$2:$R$33,5,FALSE()),0))</f>
        <v>0</v>
      </c>
      <c r="Q9" s="26" t="n">
        <f aca="false">IF(A9="","",Q8+IFERROR(VLOOKUP(H9,Données!$B$2:$R$33,6,FALSE()),0))</f>
        <v>0</v>
      </c>
      <c r="R9" s="27" t="n">
        <f aca="false">IF(A9="","",J9+K9+MAX(0,L9)+M9+N9)</f>
        <v>3</v>
      </c>
      <c r="S9" s="27" t="n">
        <f aca="false">IF(A9="","",Q9+P9+O9+MAX(0,-L9)+T9)</f>
        <v>3</v>
      </c>
      <c r="T9" s="27" t="n">
        <f aca="false">IF(A9="","",R9-Q9-P9-O9-MAX(0,-L9))</f>
        <v>2</v>
      </c>
      <c r="U9" s="27" t="str">
        <f aca="false">IF(A9="","",IF(ABS(R9-S9)&lt;0.01,"✓","⚠"))</f>
        <v>✓</v>
      </c>
      <c r="V9" s="28" t="n">
        <f aca="false">IF(A9="","",V8+COUNTIF($G$7:G7,"Commercial Junior")*4+COUNTIF($G$7:G7,"Commercial Senior")*6+COUNTIF($G$7:G7,"Directrice Commerciale")*8+IF($B$2="Azura Commerce",2,0)+IFERROR(VLOOKUP(I9,Données!$B$44:$L$57,2,FALSE()),0))</f>
        <v>0</v>
      </c>
      <c r="W9" s="28" t="n">
        <f aca="false">IF(A9="","",W8+(COUNTIF($G$7:G7,"Commercial Junior")+COUNTIF($G$7:G7,"Commercial Senior")+COUNTIF($G$7:G7,"Directrice Commerciale"))*2+IF($B$2="Azura Commerce",1,0)+IFERROR(VLOOKUP(I9,Données!$B$44:$L$57,5,FALSE()),0)+SUMPRODUCT(IFERROR(VLOOKUP($H$7:H9,Données!$B$2:$V$38,22,FALSE()),0)))</f>
        <v>0</v>
      </c>
      <c r="X9" s="28" t="n">
        <f aca="false">IF(A9="","",X8+COUNTIF($G$7:G7,"Commercial Junior")*1+COUNTIF($G$7:G7,"Commercial Senior")*2+COUNTIF($G$7:G7,"Directrice Commerciale")*3+SUMPRODUCT(IFERROR(VLOOKUP($H$7:H9,Données!$B$2:$V$38,12,FALSE()),0)))</f>
        <v>0</v>
      </c>
      <c r="Y9" s="28" t="n">
        <f aca="false">IF(A9="","",Y8+IF(MOD(A9-1,4)=0,MAX(1,ROUND(P8*0.05,0)),0)+SUMPRODUCT(IFERROR(VLOOKUP($H$7:H9,Données!$B$2:$V$38,11,FALSE()),0)))</f>
        <v>1</v>
      </c>
      <c r="Z9" s="28" t="n">
        <f aca="false">IF(A9="","",MAX(0,Z8+MIN(J8+IFERROR(VLOOKUP(H9,Données!$B$2:$V$38,3,FALSE()),0),2+IF(IFERROR(VLOOKUP(H9,Données!$B$2:$V$38,3,FALSE()),0)&gt;0,1,0))+SUMPRODUCT(IFERROR(VLOOKUP($H$7:H9,Données!$B$2:$V$38,21,FALSE()),0))))</f>
        <v>0</v>
      </c>
      <c r="AA9" s="28" t="n">
        <f aca="false">IF(A9="","",AA8+IFERROR(VLOOKUP(I9,Données!$B$39:$L$52,8,FALSE()),0)+SUMPRODUCT(IFERROR(VLOOKUP($H$7:H9,Données!$B$2:$R$33,13,FALSE()),0)))</f>
        <v>0</v>
      </c>
      <c r="AB9" s="28" t="n">
        <f aca="false">IF(A9="","",AB8+IFERROR(VLOOKUP(I9,Données!$B$39:$L$52,6,FALSE()),0)+IFERROR(VLOOKUP(I9,Données!$B$39:$L$52,7,FALSE()),0))</f>
        <v>0</v>
      </c>
      <c r="AC9" s="28" t="n">
        <f aca="false">IF(A9="","",V9-W9-X9-Y9-Z9+AA9-AB9)</f>
        <v>-1</v>
      </c>
      <c r="AD9" s="29" t="n">
        <f aca="false">IF(A9="","",T9*3+J9*2+MAX(0,L9)+Q9-MAX(0,-L9))</f>
        <v>5</v>
      </c>
      <c r="AE9" s="30" t="n">
        <f aca="false">IF(A9="","",L9-L8)</f>
        <v>0</v>
      </c>
      <c r="AF9" s="30" t="n">
        <f aca="false">IF(A9="","",T9-T8)</f>
        <v>1</v>
      </c>
      <c r="AG9" s="30" t="n">
        <f aca="false">IF(A9="","",V9-V8)</f>
        <v>0</v>
      </c>
      <c r="AH9" s="30" t="n">
        <f aca="false">IF(A9="","",W9+X9+Y9+Z9-W8-X8-Y8-Z8)</f>
        <v>0</v>
      </c>
    </row>
    <row r="10" customFormat="false" ht="19.5" hidden="false" customHeight="true" outlineLevel="0" collapsed="false">
      <c r="A10" s="1" t="n">
        <f aca="false">IF(A6+4&lt;=$E$2,4,"")</f>
        <v>4</v>
      </c>
      <c r="B10" s="1" t="n">
        <f aca="false">IF(A10="","",QUOTIENT(A10-1,4)+1)</f>
        <v>1</v>
      </c>
      <c r="C10" s="1" t="n">
        <f aca="false">IF(A10="","",MOD(A10-1,4)+1)</f>
        <v>4</v>
      </c>
      <c r="D10" s="25"/>
      <c r="E10" s="25"/>
      <c r="F10" s="25"/>
      <c r="G10" s="25"/>
      <c r="H10" s="25"/>
      <c r="I10" s="25"/>
      <c r="J10" s="26" t="n">
        <f aca="false">IF(A10="","",MAX(0,J9+IFERROR(VLOOKUP(H10,Données!$B$2:$R$33,3,FALSE()),0)-(2+IF(IFERROR(VLOOKUP(H10,Données!$B$2:$R$33,3,FALSE()),0)&gt;0,1,0))))</f>
        <v>0</v>
      </c>
      <c r="K10" s="26" t="n">
        <f aca="false">IF(A10="","",MAX(0,K9+E10+IF($B$2="Manufacture Belvaux",1,0)+IFERROR(VLOOKUP(I10,Données!$B$44:$L$57,4,FALSE()),0)-(COUNTIF($G$7:G7,"Commercial Junior")+COUNTIF($G$7:G7,"Commercial Senior")+COUNTIF($G$7:G7,"Directrice Commerciale"))*2-IF($B$2="Azura Commerce",1,0)+IFERROR(VLOOKUP(H10,Données!$B$2:$V$38,19,FALSE()),0)+SUMPRODUCT(IFERROR(VLOOKUP($H$7:H10,Données!$B$2:$V$38,20,FALSE()),0))))</f>
        <v>4</v>
      </c>
      <c r="L10" s="26" t="n">
        <f aca="false">IF(A10="","",L9+D10-IF(F10="Comptant",E10,0)+COUNTIF($G$7:G10,"Commercial Junior")*4+IF($B$2="Véloce Transports",COUNTIF($G$7:G10,"Commercial Senior")*6,0)+IF($B$2="Azura Commerce",2,0)+M9+IFERROR(VLOOKUP(H10,Données!$B$2:$R$33,4,FALSE()),0)+SUMPRODUCT(IFERROR(VLOOKUP($H$7:H10,Données!$B$2:$R$33,10,FALSE()),0))+IFERROR(VLOOKUP(I10,Données!$B$39:$L$52,3,FALSE()),0)-(COUNTIF($G$7:G10,"Commercial Junior")*1+COUNTIF($G$7:G10,"Commercial Senior")*2+COUNTIF($G$7:G10,"Directrice Commerciale")*3)-IF(MOD(A10-1,4)=0,MAX(1,ROUND(P9*0.05,0)),0)+IF($B$2="Synergia Lab",1,0))</f>
        <v>-1</v>
      </c>
      <c r="M10" s="26" t="n">
        <f aca="false">IF(A10="","",N9+IF($B$2&lt;&gt;"Véloce Transports",COUNTIF($G$7:G10,"Commercial Senior")*6,0))</f>
        <v>0</v>
      </c>
      <c r="N10" s="26" t="n">
        <f aca="false">IF(A10="","",COUNTIF($G$7:G10,"Directrice Commerciale")*8+IFERROR(VLOOKUP(I10,Données!$B$39:$L$52,10,FALSE()),0))</f>
        <v>0</v>
      </c>
      <c r="O10" s="26" t="n">
        <f aca="false">IF(A10="","",O9+IF(F10="Crédit",E10,0))</f>
        <v>0</v>
      </c>
      <c r="P10" s="26" t="n">
        <f aca="false">IF(A10="","",P9+D10+IFERROR(VLOOKUP(H10,Données!$B$2:$R$33,5,FALSE()),0))</f>
        <v>0</v>
      </c>
      <c r="Q10" s="26" t="n">
        <f aca="false">IF(A10="","",Q9+IFERROR(VLOOKUP(H10,Données!$B$2:$R$33,6,FALSE()),0))</f>
        <v>0</v>
      </c>
      <c r="R10" s="27" t="n">
        <f aca="false">IF(A10="","",J10+K10+MAX(0,L10)+M10+N10)</f>
        <v>4</v>
      </c>
      <c r="S10" s="27" t="n">
        <f aca="false">IF(A10="","",Q10+P10+O10+MAX(0,-L10)+T10)</f>
        <v>4</v>
      </c>
      <c r="T10" s="27" t="n">
        <f aca="false">IF(A10="","",R10-Q10-P10-O10-MAX(0,-L10))</f>
        <v>3</v>
      </c>
      <c r="U10" s="27" t="str">
        <f aca="false">IF(A10="","",IF(ABS(R10-S10)&lt;0.01,"✓","⚠"))</f>
        <v>✓</v>
      </c>
      <c r="V10" s="28" t="n">
        <f aca="false">IF(A10="","",V9+COUNTIF($G$7:G7,"Commercial Junior")*4+COUNTIF($G$7:G7,"Commercial Senior")*6+COUNTIF($G$7:G7,"Directrice Commerciale")*8+IF($B$2="Azura Commerce",2,0)+IFERROR(VLOOKUP(I10,Données!$B$44:$L$57,2,FALSE()),0))</f>
        <v>0</v>
      </c>
      <c r="W10" s="28" t="n">
        <f aca="false">IF(A10="","",W9+(COUNTIF($G$7:G7,"Commercial Junior")+COUNTIF($G$7:G7,"Commercial Senior")+COUNTIF($G$7:G7,"Directrice Commerciale"))*2+IF($B$2="Azura Commerce",1,0)+IFERROR(VLOOKUP(I10,Données!$B$44:$L$57,5,FALSE()),0)+SUMPRODUCT(IFERROR(VLOOKUP($H$7:H10,Données!$B$2:$V$38,22,FALSE()),0)))</f>
        <v>0</v>
      </c>
      <c r="X10" s="28" t="n">
        <f aca="false">IF(A10="","",X9+COUNTIF($G$7:G7,"Commercial Junior")*1+COUNTIF($G$7:G7,"Commercial Senior")*2+COUNTIF($G$7:G7,"Directrice Commerciale")*3+SUMPRODUCT(IFERROR(VLOOKUP($H$7:H10,Données!$B$2:$V$38,12,FALSE()),0)))</f>
        <v>0</v>
      </c>
      <c r="Y10" s="28" t="n">
        <f aca="false">IF(A10="","",Y9+IF(MOD(A10-1,4)=0,MAX(1,ROUND(P9*0.05,0)),0)+SUMPRODUCT(IFERROR(VLOOKUP($H$7:H10,Données!$B$2:$V$38,11,FALSE()),0)))</f>
        <v>1</v>
      </c>
      <c r="Z10" s="28" t="n">
        <f aca="false">IF(A10="","",MAX(0,Z9+MIN(J9+IFERROR(VLOOKUP(H10,Données!$B$2:$V$38,3,FALSE()),0),2+IF(IFERROR(VLOOKUP(H10,Données!$B$2:$V$38,3,FALSE()),0)&gt;0,1,0))+SUMPRODUCT(IFERROR(VLOOKUP($H$7:H10,Données!$B$2:$V$38,21,FALSE()),0))))</f>
        <v>0</v>
      </c>
      <c r="AA10" s="28" t="n">
        <f aca="false">IF(A10="","",AA9+IFERROR(VLOOKUP(I10,Données!$B$39:$L$52,8,FALSE()),0)+SUMPRODUCT(IFERROR(VLOOKUP($H$7:H10,Données!$B$2:$R$33,13,FALSE()),0)))</f>
        <v>0</v>
      </c>
      <c r="AB10" s="28" t="n">
        <f aca="false">IF(A10="","",AB9+IFERROR(VLOOKUP(I10,Données!$B$39:$L$52,6,FALSE()),0)+IFERROR(VLOOKUP(I10,Données!$B$39:$L$52,7,FALSE()),0))</f>
        <v>0</v>
      </c>
      <c r="AC10" s="28" t="n">
        <f aca="false">IF(A10="","",V10-W10-X10-Y10-Z10+AA10-AB10)</f>
        <v>-1</v>
      </c>
      <c r="AD10" s="29" t="n">
        <f aca="false">IF(A10="","",T10*3+J10*2+MAX(0,L10)+Q10-MAX(0,-L10))</f>
        <v>8</v>
      </c>
      <c r="AE10" s="30" t="n">
        <f aca="false">IF(A10="","",L10-L9)</f>
        <v>0</v>
      </c>
      <c r="AF10" s="30" t="n">
        <f aca="false">IF(A10="","",T10-T9)</f>
        <v>1</v>
      </c>
      <c r="AG10" s="30" t="n">
        <f aca="false">IF(A10="","",V10-V9)</f>
        <v>0</v>
      </c>
      <c r="AH10" s="30" t="n">
        <f aca="false">IF(A10="","",W10+X10+Y10+Z10-W9-X9-Y9-Z9)</f>
        <v>0</v>
      </c>
    </row>
    <row r="11" customFormat="false" ht="19.5" hidden="false" customHeight="true" outlineLevel="0" collapsed="false">
      <c r="A11" s="1" t="n">
        <f aca="false">IF(A6+5&lt;=$E$2,5,"")</f>
        <v>5</v>
      </c>
      <c r="B11" s="1" t="n">
        <f aca="false">IF(A11="","",QUOTIENT(A11-1,4)+1)</f>
        <v>2</v>
      </c>
      <c r="C11" s="1" t="n">
        <f aca="false">IF(A11="","",MOD(A11-1,4)+1)</f>
        <v>1</v>
      </c>
      <c r="D11" s="25"/>
      <c r="E11" s="25"/>
      <c r="F11" s="25"/>
      <c r="G11" s="25"/>
      <c r="H11" s="25"/>
      <c r="I11" s="25"/>
      <c r="J11" s="26" t="n">
        <f aca="false">IF(A11="","",MAX(0,J10+IFERROR(VLOOKUP(H11,Données!$B$2:$R$33,3,FALSE()),0)-(2+IF(IFERROR(VLOOKUP(H11,Données!$B$2:$R$33,3,FALSE()),0)&gt;0,1,0))))</f>
        <v>0</v>
      </c>
      <c r="K11" s="26" t="n">
        <f aca="false">IF(A11="","",MAX(0,K10+E11+IF($B$2="Manufacture Belvaux",1,0)+IFERROR(VLOOKUP(I11,Données!$B$44:$L$57,4,FALSE()),0)-(COUNTIF($G$7:G7,"Commercial Junior")+COUNTIF($G$7:G7,"Commercial Senior")+COUNTIF($G$7:G7,"Directrice Commerciale"))*2-IF($B$2="Azura Commerce",1,0)+IFERROR(VLOOKUP(H11,Données!$B$2:$V$38,19,FALSE()),0)+SUMPRODUCT(IFERROR(VLOOKUP($H$7:H11,Données!$B$2:$V$38,20,FALSE()),0))))</f>
        <v>5</v>
      </c>
      <c r="L11" s="26" t="n">
        <f aca="false">IF(A11="","",L10+D11-IF(F11="Comptant",E11,0)+COUNTIF($G$7:G11,"Commercial Junior")*4+IF($B$2="Véloce Transports",COUNTIF($G$7:G11,"Commercial Senior")*6,0)+IF($B$2="Azura Commerce",2,0)+M10+IFERROR(VLOOKUP(H11,Données!$B$2:$R$33,4,FALSE()),0)+SUMPRODUCT(IFERROR(VLOOKUP($H$7:H11,Données!$B$2:$R$33,10,FALSE()),0))+IFERROR(VLOOKUP(I11,Données!$B$39:$L$52,3,FALSE()),0)-(COUNTIF($G$7:G11,"Commercial Junior")*1+COUNTIF($G$7:G11,"Commercial Senior")*2+COUNTIF($G$7:G11,"Directrice Commerciale")*3)-IF(MOD(A11-1,4)=0,MAX(1,ROUND(P10*0.05,0)),0)+IF($B$2="Synergia Lab",1,0))</f>
        <v>-2</v>
      </c>
      <c r="M11" s="26" t="n">
        <f aca="false">IF(A11="","",N10+IF($B$2&lt;&gt;"Véloce Transports",COUNTIF($G$7:G11,"Commercial Senior")*6,0))</f>
        <v>0</v>
      </c>
      <c r="N11" s="26" t="n">
        <f aca="false">IF(A11="","",COUNTIF($G$7:G11,"Directrice Commerciale")*8+IFERROR(VLOOKUP(I11,Données!$B$39:$L$52,10,FALSE()),0))</f>
        <v>0</v>
      </c>
      <c r="O11" s="26" t="n">
        <f aca="false">IF(A11="","",O10+IF(F11="Crédit",E11,0))</f>
        <v>0</v>
      </c>
      <c r="P11" s="26" t="n">
        <f aca="false">IF(A11="","",P10+D11+IFERROR(VLOOKUP(H11,Données!$B$2:$R$33,5,FALSE()),0))</f>
        <v>0</v>
      </c>
      <c r="Q11" s="26" t="n">
        <f aca="false">IF(A11="","",Q10+IFERROR(VLOOKUP(H11,Données!$B$2:$R$33,6,FALSE()),0))</f>
        <v>0</v>
      </c>
      <c r="R11" s="27" t="n">
        <f aca="false">IF(A11="","",J11+K11+MAX(0,L11)+M11+N11)</f>
        <v>5</v>
      </c>
      <c r="S11" s="27" t="n">
        <f aca="false">IF(A11="","",Q11+P11+O11+MAX(0,-L11)+T11)</f>
        <v>5</v>
      </c>
      <c r="T11" s="27" t="n">
        <f aca="false">IF(A11="","",R11-Q11-P11-O11-MAX(0,-L11))</f>
        <v>3</v>
      </c>
      <c r="U11" s="27" t="str">
        <f aca="false">IF(A11="","",IF(ABS(R11-S11)&lt;0.01,"✓","⚠"))</f>
        <v>✓</v>
      </c>
      <c r="V11" s="28" t="n">
        <f aca="false">IF(A11="","",V10+COUNTIF($G$7:G7,"Commercial Junior")*4+COUNTIF($G$7:G7,"Commercial Senior")*6+COUNTIF($G$7:G7,"Directrice Commerciale")*8+IF($B$2="Azura Commerce",2,0)+IFERROR(VLOOKUP(I11,Données!$B$44:$L$57,2,FALSE()),0))</f>
        <v>0</v>
      </c>
      <c r="W11" s="28" t="n">
        <f aca="false">IF(A11="","",W10+(COUNTIF($G$7:G7,"Commercial Junior")+COUNTIF($G$7:G7,"Commercial Senior")+COUNTIF($G$7:G7,"Directrice Commerciale"))*2+IF($B$2="Azura Commerce",1,0)+IFERROR(VLOOKUP(I11,Données!$B$44:$L$57,5,FALSE()),0)+SUMPRODUCT(IFERROR(VLOOKUP($H$7:H11,Données!$B$2:$V$38,22,FALSE()),0)))</f>
        <v>0</v>
      </c>
      <c r="X11" s="28" t="n">
        <f aca="false">IF(A11="","",X10+COUNTIF($G$7:G7,"Commercial Junior")*1+COUNTIF($G$7:G7,"Commercial Senior")*2+COUNTIF($G$7:G7,"Directrice Commerciale")*3+SUMPRODUCT(IFERROR(VLOOKUP($H$7:H11,Données!$B$2:$V$38,12,FALSE()),0)))</f>
        <v>0</v>
      </c>
      <c r="Y11" s="28" t="n">
        <f aca="false">IF(A11="","",Y10+IF(MOD(A11-1,4)=0,MAX(1,ROUND(P10*0.05,0)),0)+SUMPRODUCT(IFERROR(VLOOKUP($H$7:H11,Données!$B$2:$V$38,11,FALSE()),0)))</f>
        <v>2</v>
      </c>
      <c r="Z11" s="28" t="n">
        <f aca="false">IF(A11="","",MAX(0,Z10+MIN(J10+IFERROR(VLOOKUP(H11,Données!$B$2:$V$38,3,FALSE()),0),2+IF(IFERROR(VLOOKUP(H11,Données!$B$2:$V$38,3,FALSE()),0)&gt;0,1,0))+SUMPRODUCT(IFERROR(VLOOKUP($H$7:H11,Données!$B$2:$V$38,21,FALSE()),0))))</f>
        <v>0</v>
      </c>
      <c r="AA11" s="28" t="n">
        <f aca="false">IF(A11="","",AA10+IFERROR(VLOOKUP(I11,Données!$B$39:$L$52,8,FALSE()),0)+SUMPRODUCT(IFERROR(VLOOKUP($H$7:H11,Données!$B$2:$R$33,13,FALSE()),0)))</f>
        <v>0</v>
      </c>
      <c r="AB11" s="28" t="n">
        <f aca="false">IF(A11="","",AB10+IFERROR(VLOOKUP(I11,Données!$B$39:$L$52,6,FALSE()),0)+IFERROR(VLOOKUP(I11,Données!$B$39:$L$52,7,FALSE()),0))</f>
        <v>0</v>
      </c>
      <c r="AC11" s="28" t="n">
        <f aca="false">IF(A11="","",V11-W11-X11-Y11-Z11+AA11-AB11)</f>
        <v>-2</v>
      </c>
      <c r="AD11" s="29" t="n">
        <f aca="false">IF(A11="","",T11*3+J11*2+MAX(0,L11)+Q11-MAX(0,-L11))</f>
        <v>7</v>
      </c>
      <c r="AE11" s="30" t="n">
        <f aca="false">IF(A11="","",L11-L10)</f>
        <v>-1</v>
      </c>
      <c r="AF11" s="30" t="n">
        <f aca="false">IF(A11="","",T11-T10)</f>
        <v>0</v>
      </c>
      <c r="AG11" s="30" t="n">
        <f aca="false">IF(A11="","",V11-V10)</f>
        <v>0</v>
      </c>
      <c r="AH11" s="30" t="n">
        <f aca="false">IF(A11="","",W11+X11+Y11+Z11-W10-X10-Y10-Z10)</f>
        <v>1</v>
      </c>
    </row>
    <row r="12" customFormat="false" ht="19.5" hidden="false" customHeight="true" outlineLevel="0" collapsed="false">
      <c r="A12" s="1" t="n">
        <f aca="false">IF(A6+6&lt;=$E$2,6,"")</f>
        <v>6</v>
      </c>
      <c r="B12" s="1" t="n">
        <f aca="false">IF(A12="","",QUOTIENT(A12-1,4)+1)</f>
        <v>2</v>
      </c>
      <c r="C12" s="1" t="n">
        <f aca="false">IF(A12="","",MOD(A12-1,4)+1)</f>
        <v>2</v>
      </c>
      <c r="D12" s="25"/>
      <c r="E12" s="25"/>
      <c r="F12" s="25"/>
      <c r="G12" s="25"/>
      <c r="H12" s="25"/>
      <c r="I12" s="25"/>
      <c r="J12" s="26" t="n">
        <f aca="false">IF(A12="","",MAX(0,J11+IFERROR(VLOOKUP(H12,Données!$B$2:$R$33,3,FALSE()),0)-(2+IF(IFERROR(VLOOKUP(H12,Données!$B$2:$R$33,3,FALSE()),0)&gt;0,1,0))))</f>
        <v>0</v>
      </c>
      <c r="K12" s="26" t="n">
        <f aca="false">IF(A12="","",MAX(0,K11+E12+IF($B$2="Manufacture Belvaux",1,0)+IFERROR(VLOOKUP(I12,Données!$B$44:$L$57,4,FALSE()),0)-(COUNTIF($G$7:G7,"Commercial Junior")+COUNTIF($G$7:G7,"Commercial Senior")+COUNTIF($G$7:G7,"Directrice Commerciale"))*2-IF($B$2="Azura Commerce",1,0)+IFERROR(VLOOKUP(H12,Données!$B$2:$V$38,19,FALSE()),0)+SUMPRODUCT(IFERROR(VLOOKUP($H$7:H12,Données!$B$2:$V$38,20,FALSE()),0))))</f>
        <v>6</v>
      </c>
      <c r="L12" s="26" t="n">
        <f aca="false">IF(A12="","",L11+D12-IF(F12="Comptant",E12,0)+COUNTIF($G$7:G12,"Commercial Junior")*4+IF($B$2="Véloce Transports",COUNTIF($G$7:G12,"Commercial Senior")*6,0)+IF($B$2="Azura Commerce",2,0)+M11+IFERROR(VLOOKUP(H12,Données!$B$2:$R$33,4,FALSE()),0)+SUMPRODUCT(IFERROR(VLOOKUP($H$7:H12,Données!$B$2:$R$33,10,FALSE()),0))+IFERROR(VLOOKUP(I12,Données!$B$39:$L$52,3,FALSE()),0)-(COUNTIF($G$7:G12,"Commercial Junior")*1+COUNTIF($G$7:G12,"Commercial Senior")*2+COUNTIF($G$7:G12,"Directrice Commerciale")*3)-IF(MOD(A12-1,4)=0,MAX(1,ROUND(P11*0.05,0)),0)+IF($B$2="Synergia Lab",1,0))</f>
        <v>-2</v>
      </c>
      <c r="M12" s="26" t="n">
        <f aca="false">IF(A12="","",N11+IF($B$2&lt;&gt;"Véloce Transports",COUNTIF($G$7:G12,"Commercial Senior")*6,0))</f>
        <v>0</v>
      </c>
      <c r="N12" s="26" t="n">
        <f aca="false">IF(A12="","",COUNTIF($G$7:G12,"Directrice Commerciale")*8+IFERROR(VLOOKUP(I12,Données!$B$39:$L$52,10,FALSE()),0))</f>
        <v>0</v>
      </c>
      <c r="O12" s="26" t="n">
        <f aca="false">IF(A12="","",O11+IF(F12="Crédit",E12,0))</f>
        <v>0</v>
      </c>
      <c r="P12" s="26" t="n">
        <f aca="false">IF(A12="","",P11+D12+IFERROR(VLOOKUP(H12,Données!$B$2:$R$33,5,FALSE()),0))</f>
        <v>0</v>
      </c>
      <c r="Q12" s="26" t="n">
        <f aca="false">IF(A12="","",Q11+IFERROR(VLOOKUP(H12,Données!$B$2:$R$33,6,FALSE()),0))</f>
        <v>0</v>
      </c>
      <c r="R12" s="27" t="n">
        <f aca="false">IF(A12="","",J12+K12+MAX(0,L12)+M12+N12)</f>
        <v>6</v>
      </c>
      <c r="S12" s="27" t="n">
        <f aca="false">IF(A12="","",Q12+P12+O12+MAX(0,-L12)+T12)</f>
        <v>6</v>
      </c>
      <c r="T12" s="27" t="n">
        <f aca="false">IF(A12="","",R12-Q12-P12-O12-MAX(0,-L12))</f>
        <v>4</v>
      </c>
      <c r="U12" s="27" t="str">
        <f aca="false">IF(A12="","",IF(ABS(R12-S12)&lt;0.01,"✓","⚠"))</f>
        <v>✓</v>
      </c>
      <c r="V12" s="28" t="n">
        <f aca="false">IF(A12="","",V11+COUNTIF($G$7:G7,"Commercial Junior")*4+COUNTIF($G$7:G7,"Commercial Senior")*6+COUNTIF($G$7:G7,"Directrice Commerciale")*8+IF($B$2="Azura Commerce",2,0)+IFERROR(VLOOKUP(I12,Données!$B$44:$L$57,2,FALSE()),0))</f>
        <v>0</v>
      </c>
      <c r="W12" s="28" t="n">
        <f aca="false">IF(A12="","",W11+(COUNTIF($G$7:G7,"Commercial Junior")+COUNTIF($G$7:G7,"Commercial Senior")+COUNTIF($G$7:G7,"Directrice Commerciale"))*2+IF($B$2="Azura Commerce",1,0)+IFERROR(VLOOKUP(I12,Données!$B$44:$L$57,5,FALSE()),0)+SUMPRODUCT(IFERROR(VLOOKUP($H$7:H12,Données!$B$2:$V$38,22,FALSE()),0)))</f>
        <v>0</v>
      </c>
      <c r="X12" s="28" t="n">
        <f aca="false">IF(A12="","",X11+COUNTIF($G$7:G7,"Commercial Junior")*1+COUNTIF($G$7:G7,"Commercial Senior")*2+COUNTIF($G$7:G7,"Directrice Commerciale")*3+SUMPRODUCT(IFERROR(VLOOKUP($H$7:H12,Données!$B$2:$V$38,12,FALSE()),0)))</f>
        <v>0</v>
      </c>
      <c r="Y12" s="28" t="n">
        <f aca="false">IF(A12="","",Y11+IF(MOD(A12-1,4)=0,MAX(1,ROUND(P11*0.05,0)),0)+SUMPRODUCT(IFERROR(VLOOKUP($H$7:H12,Données!$B$2:$V$38,11,FALSE()),0)))</f>
        <v>2</v>
      </c>
      <c r="Z12" s="28" t="n">
        <f aca="false">IF(A12="","",MAX(0,Z11+MIN(J11+IFERROR(VLOOKUP(H12,Données!$B$2:$V$38,3,FALSE()),0),2+IF(IFERROR(VLOOKUP(H12,Données!$B$2:$V$38,3,FALSE()),0)&gt;0,1,0))+SUMPRODUCT(IFERROR(VLOOKUP($H$7:H12,Données!$B$2:$V$38,21,FALSE()),0))))</f>
        <v>0</v>
      </c>
      <c r="AA12" s="28" t="n">
        <f aca="false">IF(A12="","",AA11+IFERROR(VLOOKUP(I12,Données!$B$39:$L$52,8,FALSE()),0)+SUMPRODUCT(IFERROR(VLOOKUP($H$7:H12,Données!$B$2:$R$33,13,FALSE()),0)))</f>
        <v>0</v>
      </c>
      <c r="AB12" s="28" t="n">
        <f aca="false">IF(A12="","",AB11+IFERROR(VLOOKUP(I12,Données!$B$39:$L$52,6,FALSE()),0)+IFERROR(VLOOKUP(I12,Données!$B$39:$L$52,7,FALSE()),0))</f>
        <v>0</v>
      </c>
      <c r="AC12" s="28" t="n">
        <f aca="false">IF(A12="","",V12-W12-X12-Y12-Z12+AA12-AB12)</f>
        <v>-2</v>
      </c>
      <c r="AD12" s="29" t="n">
        <f aca="false">IF(A12="","",T12*3+J12*2+MAX(0,L12)+Q12-MAX(0,-L12))</f>
        <v>10</v>
      </c>
      <c r="AE12" s="30" t="n">
        <f aca="false">IF(A12="","",L12-L11)</f>
        <v>0</v>
      </c>
      <c r="AF12" s="30" t="n">
        <f aca="false">IF(A12="","",T12-T11)</f>
        <v>1</v>
      </c>
      <c r="AG12" s="30" t="n">
        <f aca="false">IF(A12="","",V12-V11)</f>
        <v>0</v>
      </c>
      <c r="AH12" s="30" t="n">
        <f aca="false">IF(A12="","",W12+X12+Y12+Z12-W11-X11-Y11-Z11)</f>
        <v>0</v>
      </c>
    </row>
    <row r="13" customFormat="false" ht="19.5" hidden="false" customHeight="true" outlineLevel="0" collapsed="false">
      <c r="A13" s="1" t="str">
        <f aca="false">IF(A6+7&lt;=$E$2,7,"")</f>
        <v/>
      </c>
      <c r="B13" s="1" t="str">
        <f aca="false">IF(A13="","",QUOTIENT(A13-1,4)+1)</f>
        <v/>
      </c>
      <c r="C13" s="1" t="str">
        <f aca="false">IF(A13="","",MOD(A13-1,4)+1)</f>
        <v/>
      </c>
      <c r="D13" s="25"/>
      <c r="E13" s="25"/>
      <c r="F13" s="25"/>
      <c r="G13" s="25"/>
      <c r="H13" s="25"/>
      <c r="I13" s="25"/>
      <c r="J13" s="26" t="str">
        <f aca="false">IF(A13="","",MAX(0,J12+IFERROR(VLOOKUP(H13,Données!$B$2:$R$33,3,FALSE()),0)-(2+IF(IFERROR(VLOOKUP(H13,Données!$B$2:$R$33,3,FALSE()),0)&gt;0,1,0))))</f>
        <v/>
      </c>
      <c r="K13" s="26" t="str">
        <f aca="false">IF(A13="","",MAX(0,K12+E13+IF($B$2="Manufacture Belvaux",1,0)+IFERROR(VLOOKUP(I13,Données!$B$44:$L$57,4,FALSE()),0)-(COUNTIF($G$7:G7,"Commercial Junior")+COUNTIF($G$7:G7,"Commercial Senior")+COUNTIF($G$7:G7,"Directrice Commerciale"))*2-IF($B$2="Azura Commerce",1,0)+IFERROR(VLOOKUP(H13,Données!$B$2:$V$38,19,FALSE()),0)+SUMPRODUCT(IFERROR(VLOOKUP($H$7:H13,Données!$B$2:$V$38,20,FALSE()),0))))</f>
        <v/>
      </c>
      <c r="L13" s="26" t="str">
        <f aca="false">IF(A13="","",L12+D13-IF(F13="Comptant",E13,0)+COUNTIF($G$7:G13,"Commercial Junior")*4+IF($B$2="Véloce Transports",COUNTIF($G$7:G13,"Commercial Senior")*6,0)+IF($B$2="Azura Commerce",2,0)+M12+IFERROR(VLOOKUP(H13,Données!$B$2:$R$33,4,FALSE()),0)+SUMPRODUCT(IFERROR(VLOOKUP($H$7:H13,Données!$B$2:$R$33,10,FALSE()),0))+IFERROR(VLOOKUP(I13,Données!$B$39:$L$52,3,FALSE()),0)-(COUNTIF($G$7:G13,"Commercial Junior")*1+COUNTIF($G$7:G13,"Commercial Senior")*2+COUNTIF($G$7:G13,"Directrice Commerciale")*3)-IF(MOD(A13-1,4)=0,MAX(1,ROUND(P12*0.05,0)),0)+IF($B$2="Synergia Lab",1,0))</f>
        <v/>
      </c>
      <c r="M13" s="26" t="str">
        <f aca="false">IF(A13="","",N12+IF($B$2&lt;&gt;"Véloce Transports",COUNTIF($G$7:G13,"Commercial Senior")*6,0))</f>
        <v/>
      </c>
      <c r="N13" s="26" t="str">
        <f aca="false">IF(A13="","",COUNTIF($G$7:G13,"Directrice Commerciale")*8+IFERROR(VLOOKUP(I13,Données!$B$39:$L$52,10,FALSE()),0))</f>
        <v/>
      </c>
      <c r="O13" s="26" t="str">
        <f aca="false">IF(A13="","",O12+IF(F13="Crédit",E13,0))</f>
        <v/>
      </c>
      <c r="P13" s="26" t="str">
        <f aca="false">IF(A13="","",P12+D13+IFERROR(VLOOKUP(H13,Données!$B$2:$R$33,5,FALSE()),0))</f>
        <v/>
      </c>
      <c r="Q13" s="26" t="str">
        <f aca="false">IF(A13="","",Q12+IFERROR(VLOOKUP(H13,Données!$B$2:$R$33,6,FALSE()),0))</f>
        <v/>
      </c>
      <c r="R13" s="27" t="str">
        <f aca="false">IF(A13="","",J13+K13+MAX(0,L13)+M13+N13)</f>
        <v/>
      </c>
      <c r="S13" s="27" t="str">
        <f aca="false">IF(A13="","",Q13+P13+O13+MAX(0,-L13)+T13)</f>
        <v/>
      </c>
      <c r="T13" s="27" t="str">
        <f aca="false">IF(A13="","",R13-Q13-P13-O13-MAX(0,-L13))</f>
        <v/>
      </c>
      <c r="U13" s="27" t="str">
        <f aca="false">IF(A13="","",IF(ABS(R13-S13)&lt;0.01,"✓","⚠"))</f>
        <v/>
      </c>
      <c r="V13" s="28" t="str">
        <f aca="false">IF(A13="","",V12+COUNTIF($G$7:G7,"Commercial Junior")*4+COUNTIF($G$7:G7,"Commercial Senior")*6+COUNTIF($G$7:G7,"Directrice Commerciale")*8+IF($B$2="Azura Commerce",2,0)+IFERROR(VLOOKUP(I13,Données!$B$44:$L$57,2,FALSE()),0))</f>
        <v/>
      </c>
      <c r="W13" s="28" t="str">
        <f aca="false">IF(A13="","",W12+(COUNTIF($G$7:G7,"Commercial Junior")+COUNTIF($G$7:G7,"Commercial Senior")+COUNTIF($G$7:G7,"Directrice Commerciale"))*2+IF($B$2="Azura Commerce",1,0)+IFERROR(VLOOKUP(I13,Données!$B$44:$L$57,5,FALSE()),0)+SUMPRODUCT(IFERROR(VLOOKUP($H$7:H13,Données!$B$2:$V$38,22,FALSE()),0)))</f>
        <v/>
      </c>
      <c r="X13" s="28" t="str">
        <f aca="false">IF(A13="","",X12+COUNTIF($G$7:G7,"Commercial Junior")*1+COUNTIF($G$7:G7,"Commercial Senior")*2+COUNTIF($G$7:G7,"Directrice Commerciale")*3+SUMPRODUCT(IFERROR(VLOOKUP($H$7:H13,Données!$B$2:$V$38,12,FALSE()),0)))</f>
        <v/>
      </c>
      <c r="Y13" s="28" t="str">
        <f aca="false">IF(A13="","",Y12+IF(MOD(A13-1,4)=0,MAX(1,ROUND(P12*0.05,0)),0)+SUMPRODUCT(IFERROR(VLOOKUP($H$7:H13,Données!$B$2:$V$38,11,FALSE()),0)))</f>
        <v/>
      </c>
      <c r="Z13" s="28" t="str">
        <f aca="false">IF(A13="","",MAX(0,Z12+MIN(J12+IFERROR(VLOOKUP(H13,Données!$B$2:$V$38,3,FALSE()),0),2+IF(IFERROR(VLOOKUP(H13,Données!$B$2:$V$38,3,FALSE()),0)&gt;0,1,0))+SUMPRODUCT(IFERROR(VLOOKUP($H$7:H13,Données!$B$2:$V$38,21,FALSE()),0))))</f>
        <v/>
      </c>
      <c r="AA13" s="28" t="str">
        <f aca="false">IF(A13="","",AA12+IFERROR(VLOOKUP(I13,Données!$B$39:$L$52,8,FALSE()),0)+SUMPRODUCT(IFERROR(VLOOKUP($H$7:H13,Données!$B$2:$R$33,13,FALSE()),0)))</f>
        <v/>
      </c>
      <c r="AB13" s="28" t="str">
        <f aca="false">IF(A13="","",AB12+IFERROR(VLOOKUP(I13,Données!$B$39:$L$52,6,FALSE()),0)+IFERROR(VLOOKUP(I13,Données!$B$39:$L$52,7,FALSE()),0))</f>
        <v/>
      </c>
      <c r="AC13" s="28" t="str">
        <f aca="false">IF(A13="","",V13-W13-X13-Y13-Z13+AA13-AB13)</f>
        <v/>
      </c>
      <c r="AD13" s="29" t="str">
        <f aca="false">IF(A13="","",T13*3+J13*2+MAX(0,L13)+Q13-MAX(0,-L13))</f>
        <v/>
      </c>
      <c r="AE13" s="30" t="str">
        <f aca="false">IF(A13="","",L13-L12)</f>
        <v/>
      </c>
      <c r="AF13" s="30" t="str">
        <f aca="false">IF(A13="","",T13-T12)</f>
        <v/>
      </c>
      <c r="AG13" s="30" t="str">
        <f aca="false">IF(A13="","",V13-V12)</f>
        <v/>
      </c>
      <c r="AH13" s="30" t="str">
        <f aca="false">IF(A13="","",W13+X13+Y13+Z13-W12-X12-Y12-Z12)</f>
        <v/>
      </c>
    </row>
    <row r="14" customFormat="false" ht="19.5" hidden="false" customHeight="true" outlineLevel="0" collapsed="false">
      <c r="A14" s="1" t="str">
        <f aca="false">IF(A6+8&lt;=$E$2,8,"")</f>
        <v/>
      </c>
      <c r="B14" s="1" t="str">
        <f aca="false">IF(A14="","",QUOTIENT(A14-1,4)+1)</f>
        <v/>
      </c>
      <c r="C14" s="1" t="str">
        <f aca="false">IF(A14="","",MOD(A14-1,4)+1)</f>
        <v/>
      </c>
      <c r="D14" s="25"/>
      <c r="E14" s="25"/>
      <c r="F14" s="25"/>
      <c r="G14" s="25"/>
      <c r="H14" s="25"/>
      <c r="I14" s="25"/>
      <c r="J14" s="26" t="str">
        <f aca="false">IF(A14="","",MAX(0,J13+IFERROR(VLOOKUP(H14,Données!$B$2:$R$33,3,FALSE()),0)-(2+IF(IFERROR(VLOOKUP(H14,Données!$B$2:$R$33,3,FALSE()),0)&gt;0,1,0))))</f>
        <v/>
      </c>
      <c r="K14" s="26" t="str">
        <f aca="false">IF(A14="","",MAX(0,K13+E14+IF($B$2="Manufacture Belvaux",1,0)+IFERROR(VLOOKUP(I14,Données!$B$44:$L$57,4,FALSE()),0)-(COUNTIF($G$7:G7,"Commercial Junior")+COUNTIF($G$7:G7,"Commercial Senior")+COUNTIF($G$7:G7,"Directrice Commerciale"))*2-IF($B$2="Azura Commerce",1,0)+IFERROR(VLOOKUP(H14,Données!$B$2:$V$38,19,FALSE()),0)+SUMPRODUCT(IFERROR(VLOOKUP($H$7:H14,Données!$B$2:$V$38,20,FALSE()),0))))</f>
        <v/>
      </c>
      <c r="L14" s="26" t="str">
        <f aca="false">IF(A14="","",L13+D14-IF(F14="Comptant",E14,0)+COUNTIF($G$7:G14,"Commercial Junior")*4+IF($B$2="Véloce Transports",COUNTIF($G$7:G14,"Commercial Senior")*6,0)+IF($B$2="Azura Commerce",2,0)+M13+IFERROR(VLOOKUP(H14,Données!$B$2:$R$33,4,FALSE()),0)+SUMPRODUCT(IFERROR(VLOOKUP($H$7:H14,Données!$B$2:$R$33,10,FALSE()),0))+IFERROR(VLOOKUP(I14,Données!$B$39:$L$52,3,FALSE()),0)-(COUNTIF($G$7:G14,"Commercial Junior")*1+COUNTIF($G$7:G14,"Commercial Senior")*2+COUNTIF($G$7:G14,"Directrice Commerciale")*3)-IF(MOD(A14-1,4)=0,MAX(1,ROUND(P13*0.05,0)),0)+IF($B$2="Synergia Lab",1,0))</f>
        <v/>
      </c>
      <c r="M14" s="26" t="str">
        <f aca="false">IF(A14="","",N13+IF($B$2&lt;&gt;"Véloce Transports",COUNTIF($G$7:G14,"Commercial Senior")*6,0))</f>
        <v/>
      </c>
      <c r="N14" s="26" t="str">
        <f aca="false">IF(A14="","",COUNTIF($G$7:G14,"Directrice Commerciale")*8+IFERROR(VLOOKUP(I14,Données!$B$39:$L$52,10,FALSE()),0))</f>
        <v/>
      </c>
      <c r="O14" s="26" t="str">
        <f aca="false">IF(A14="","",O13+IF(F14="Crédit",E14,0))</f>
        <v/>
      </c>
      <c r="P14" s="26" t="str">
        <f aca="false">IF(A14="","",P13+D14+IFERROR(VLOOKUP(H14,Données!$B$2:$R$33,5,FALSE()),0))</f>
        <v/>
      </c>
      <c r="Q14" s="26" t="str">
        <f aca="false">IF(A14="","",Q13+IFERROR(VLOOKUP(H14,Données!$B$2:$R$33,6,FALSE()),0))</f>
        <v/>
      </c>
      <c r="R14" s="27" t="str">
        <f aca="false">IF(A14="","",J14+K14+MAX(0,L14)+M14+N14)</f>
        <v/>
      </c>
      <c r="S14" s="27" t="str">
        <f aca="false">IF(A14="","",Q14+P14+O14+MAX(0,-L14)+T14)</f>
        <v/>
      </c>
      <c r="T14" s="27" t="str">
        <f aca="false">IF(A14="","",R14-Q14-P14-O14-MAX(0,-L14))</f>
        <v/>
      </c>
      <c r="U14" s="27" t="str">
        <f aca="false">IF(A14="","",IF(ABS(R14-S14)&lt;0.01,"✓","⚠"))</f>
        <v/>
      </c>
      <c r="V14" s="28" t="str">
        <f aca="false">IF(A14="","",V13+COUNTIF($G$7:G7,"Commercial Junior")*4+COUNTIF($G$7:G7,"Commercial Senior")*6+COUNTIF($G$7:G7,"Directrice Commerciale")*8+IF($B$2="Azura Commerce",2,0)+IFERROR(VLOOKUP(I14,Données!$B$44:$L$57,2,FALSE()),0))</f>
        <v/>
      </c>
      <c r="W14" s="28" t="str">
        <f aca="false">IF(A14="","",W13+(COUNTIF($G$7:G7,"Commercial Junior")+COUNTIF($G$7:G7,"Commercial Senior")+COUNTIF($G$7:G7,"Directrice Commerciale"))*2+IF($B$2="Azura Commerce",1,0)+IFERROR(VLOOKUP(I14,Données!$B$44:$L$57,5,FALSE()),0)+SUMPRODUCT(IFERROR(VLOOKUP($H$7:H14,Données!$B$2:$V$38,22,FALSE()),0)))</f>
        <v/>
      </c>
      <c r="X14" s="28" t="str">
        <f aca="false">IF(A14="","",X13+COUNTIF($G$7:G7,"Commercial Junior")*1+COUNTIF($G$7:G7,"Commercial Senior")*2+COUNTIF($G$7:G7,"Directrice Commerciale")*3+SUMPRODUCT(IFERROR(VLOOKUP($H$7:H14,Données!$B$2:$V$38,12,FALSE()),0)))</f>
        <v/>
      </c>
      <c r="Y14" s="28" t="str">
        <f aca="false">IF(A14="","",Y13+IF(MOD(A14-1,4)=0,MAX(1,ROUND(P13*0.05,0)),0)+SUMPRODUCT(IFERROR(VLOOKUP($H$7:H14,Données!$B$2:$V$38,11,FALSE()),0)))</f>
        <v/>
      </c>
      <c r="Z14" s="28" t="str">
        <f aca="false">IF(A14="","",MAX(0,Z13+MIN(J13+IFERROR(VLOOKUP(H14,Données!$B$2:$V$38,3,FALSE()),0),2+IF(IFERROR(VLOOKUP(H14,Données!$B$2:$V$38,3,FALSE()),0)&gt;0,1,0))+SUMPRODUCT(IFERROR(VLOOKUP($H$7:H14,Données!$B$2:$V$38,21,FALSE()),0))))</f>
        <v/>
      </c>
      <c r="AA14" s="28" t="str">
        <f aca="false">IF(A14="","",AA13+IFERROR(VLOOKUP(I14,Données!$B$39:$L$52,8,FALSE()),0)+SUMPRODUCT(IFERROR(VLOOKUP($H$7:H14,Données!$B$2:$R$33,13,FALSE()),0)))</f>
        <v/>
      </c>
      <c r="AB14" s="28" t="str">
        <f aca="false">IF(A14="","",AB13+IFERROR(VLOOKUP(I14,Données!$B$39:$L$52,6,FALSE()),0)+IFERROR(VLOOKUP(I14,Données!$B$39:$L$52,7,FALSE()),0))</f>
        <v/>
      </c>
      <c r="AC14" s="28" t="str">
        <f aca="false">IF(A14="","",V14-W14-X14-Y14-Z14+AA14-AB14)</f>
        <v/>
      </c>
      <c r="AD14" s="29" t="str">
        <f aca="false">IF(A14="","",T14*3+J14*2+MAX(0,L14)+Q14-MAX(0,-L14))</f>
        <v/>
      </c>
      <c r="AE14" s="30" t="str">
        <f aca="false">IF(A14="","",L14-L13)</f>
        <v/>
      </c>
      <c r="AF14" s="30" t="str">
        <f aca="false">IF(A14="","",T14-T13)</f>
        <v/>
      </c>
      <c r="AG14" s="30" t="str">
        <f aca="false">IF(A14="","",V14-V13)</f>
        <v/>
      </c>
      <c r="AH14" s="30" t="str">
        <f aca="false">IF(A14="","",W14+X14+Y14+Z14-W13-X13-Y13-Z13)</f>
        <v/>
      </c>
    </row>
    <row r="15" customFormat="false" ht="19.5" hidden="false" customHeight="true" outlineLevel="0" collapsed="false">
      <c r="A15" s="1" t="str">
        <f aca="false">IF(A6+9&lt;=$E$2,9,"")</f>
        <v/>
      </c>
      <c r="B15" s="1" t="str">
        <f aca="false">IF(A15="","",QUOTIENT(A15-1,4)+1)</f>
        <v/>
      </c>
      <c r="C15" s="1" t="str">
        <f aca="false">IF(A15="","",MOD(A15-1,4)+1)</f>
        <v/>
      </c>
      <c r="D15" s="25"/>
      <c r="E15" s="25"/>
      <c r="F15" s="25"/>
      <c r="G15" s="25"/>
      <c r="H15" s="25"/>
      <c r="I15" s="25"/>
      <c r="J15" s="26" t="str">
        <f aca="false">IF(A15="","",MAX(0,J14+IFERROR(VLOOKUP(H15,Données!$B$2:$R$33,3,FALSE()),0)-(2+IF(IFERROR(VLOOKUP(H15,Données!$B$2:$R$33,3,FALSE()),0)&gt;0,1,0))))</f>
        <v/>
      </c>
      <c r="K15" s="26" t="str">
        <f aca="false">IF(A15="","",MAX(0,K14+E15+IF($B$2="Manufacture Belvaux",1,0)+IFERROR(VLOOKUP(I15,Données!$B$44:$L$57,4,FALSE()),0)-(COUNTIF($G$7:G7,"Commercial Junior")+COUNTIF($G$7:G7,"Commercial Senior")+COUNTIF($G$7:G7,"Directrice Commerciale"))*2-IF($B$2="Azura Commerce",1,0)+IFERROR(VLOOKUP(H15,Données!$B$2:$V$38,19,FALSE()),0)+SUMPRODUCT(IFERROR(VLOOKUP($H$7:H15,Données!$B$2:$V$38,20,FALSE()),0))))</f>
        <v/>
      </c>
      <c r="L15" s="26" t="str">
        <f aca="false">IF(A15="","",L14+D15-IF(F15="Comptant",E15,0)+COUNTIF($G$7:G15,"Commercial Junior")*4+IF($B$2="Véloce Transports",COUNTIF($G$7:G15,"Commercial Senior")*6,0)+IF($B$2="Azura Commerce",2,0)+M14+IFERROR(VLOOKUP(H15,Données!$B$2:$R$33,4,FALSE()),0)+SUMPRODUCT(IFERROR(VLOOKUP($H$7:H15,Données!$B$2:$R$33,10,FALSE()),0))+IFERROR(VLOOKUP(I15,Données!$B$39:$L$52,3,FALSE()),0)-(COUNTIF($G$7:G15,"Commercial Junior")*1+COUNTIF($G$7:G15,"Commercial Senior")*2+COUNTIF($G$7:G15,"Directrice Commerciale")*3)-IF(MOD(A15-1,4)=0,MAX(1,ROUND(P14*0.05,0)),0)+IF($B$2="Synergia Lab",1,0))</f>
        <v/>
      </c>
      <c r="M15" s="26" t="str">
        <f aca="false">IF(A15="","",N14+IF($B$2&lt;&gt;"Véloce Transports",COUNTIF($G$7:G15,"Commercial Senior")*6,0))</f>
        <v/>
      </c>
      <c r="N15" s="26" t="str">
        <f aca="false">IF(A15="","",COUNTIF($G$7:G15,"Directrice Commerciale")*8+IFERROR(VLOOKUP(I15,Données!$B$39:$L$52,10,FALSE()),0))</f>
        <v/>
      </c>
      <c r="O15" s="26" t="str">
        <f aca="false">IF(A15="","",O14+IF(F15="Crédit",E15,0))</f>
        <v/>
      </c>
      <c r="P15" s="26" t="str">
        <f aca="false">IF(A15="","",P14+D15+IFERROR(VLOOKUP(H15,Données!$B$2:$R$33,5,FALSE()),0))</f>
        <v/>
      </c>
      <c r="Q15" s="26" t="str">
        <f aca="false">IF(A15="","",Q14+IFERROR(VLOOKUP(H15,Données!$B$2:$R$33,6,FALSE()),0))</f>
        <v/>
      </c>
      <c r="R15" s="27" t="str">
        <f aca="false">IF(A15="","",J15+K15+MAX(0,L15)+M15+N15)</f>
        <v/>
      </c>
      <c r="S15" s="27" t="str">
        <f aca="false">IF(A15="","",Q15+P15+O15+MAX(0,-L15)+T15)</f>
        <v/>
      </c>
      <c r="T15" s="27" t="str">
        <f aca="false">IF(A15="","",R15-Q15-P15-O15-MAX(0,-L15))</f>
        <v/>
      </c>
      <c r="U15" s="27" t="str">
        <f aca="false">IF(A15="","",IF(ABS(R15-S15)&lt;0.01,"✓","⚠"))</f>
        <v/>
      </c>
      <c r="V15" s="28" t="str">
        <f aca="false">IF(A15="","",V14+COUNTIF($G$7:G7,"Commercial Junior")*4+COUNTIF($G$7:G7,"Commercial Senior")*6+COUNTIF($G$7:G7,"Directrice Commerciale")*8+IF($B$2="Azura Commerce",2,0)+IFERROR(VLOOKUP(I15,Données!$B$44:$L$57,2,FALSE()),0))</f>
        <v/>
      </c>
      <c r="W15" s="28" t="str">
        <f aca="false">IF(A15="","",W14+(COUNTIF($G$7:G7,"Commercial Junior")+COUNTIF($G$7:G7,"Commercial Senior")+COUNTIF($G$7:G7,"Directrice Commerciale"))*2+IF($B$2="Azura Commerce",1,0)+IFERROR(VLOOKUP(I15,Données!$B$44:$L$57,5,FALSE()),0)+SUMPRODUCT(IFERROR(VLOOKUP($H$7:H15,Données!$B$2:$V$38,22,FALSE()),0)))</f>
        <v/>
      </c>
      <c r="X15" s="28" t="str">
        <f aca="false">IF(A15="","",X14+COUNTIF($G$7:G7,"Commercial Junior")*1+COUNTIF($G$7:G7,"Commercial Senior")*2+COUNTIF($G$7:G7,"Directrice Commerciale")*3+SUMPRODUCT(IFERROR(VLOOKUP($H$7:H15,Données!$B$2:$V$38,12,FALSE()),0)))</f>
        <v/>
      </c>
      <c r="Y15" s="28" t="str">
        <f aca="false">IF(A15="","",Y14+IF(MOD(A15-1,4)=0,MAX(1,ROUND(P14*0.05,0)),0)+SUMPRODUCT(IFERROR(VLOOKUP($H$7:H15,Données!$B$2:$V$38,11,FALSE()),0)))</f>
        <v/>
      </c>
      <c r="Z15" s="28" t="str">
        <f aca="false">IF(A15="","",MAX(0,Z14+MIN(J14+IFERROR(VLOOKUP(H15,Données!$B$2:$V$38,3,FALSE()),0),2+IF(IFERROR(VLOOKUP(H15,Données!$B$2:$V$38,3,FALSE()),0)&gt;0,1,0))+SUMPRODUCT(IFERROR(VLOOKUP($H$7:H15,Données!$B$2:$V$38,21,FALSE()),0))))</f>
        <v/>
      </c>
      <c r="AA15" s="28" t="str">
        <f aca="false">IF(A15="","",AA14+IFERROR(VLOOKUP(I15,Données!$B$39:$L$52,8,FALSE()),0)+SUMPRODUCT(IFERROR(VLOOKUP($H$7:H15,Données!$B$2:$R$33,13,FALSE()),0)))</f>
        <v/>
      </c>
      <c r="AB15" s="28" t="str">
        <f aca="false">IF(A15="","",AB14+IFERROR(VLOOKUP(I15,Données!$B$39:$L$52,6,FALSE()),0)+IFERROR(VLOOKUP(I15,Données!$B$39:$L$52,7,FALSE()),0))</f>
        <v/>
      </c>
      <c r="AC15" s="28" t="str">
        <f aca="false">IF(A15="","",V15-W15-X15-Y15-Z15+AA15-AB15)</f>
        <v/>
      </c>
      <c r="AD15" s="29" t="str">
        <f aca="false">IF(A15="","",T15*3+J15*2+MAX(0,L15)+Q15-MAX(0,-L15))</f>
        <v/>
      </c>
      <c r="AE15" s="30" t="str">
        <f aca="false">IF(A15="","",L15-L14)</f>
        <v/>
      </c>
      <c r="AF15" s="30" t="str">
        <f aca="false">IF(A15="","",T15-T14)</f>
        <v/>
      </c>
      <c r="AG15" s="30" t="str">
        <f aca="false">IF(A15="","",V15-V14)</f>
        <v/>
      </c>
      <c r="AH15" s="30" t="str">
        <f aca="false">IF(A15="","",W15+X15+Y15+Z15-W14-X14-Y14-Z14)</f>
        <v/>
      </c>
    </row>
    <row r="16" customFormat="false" ht="19.5" hidden="false" customHeight="true" outlineLevel="0" collapsed="false">
      <c r="A16" s="1" t="str">
        <f aca="false">IF(A6+10&lt;=$E$2,10,"")</f>
        <v/>
      </c>
      <c r="B16" s="1" t="str">
        <f aca="false">IF(A16="","",QUOTIENT(A16-1,4)+1)</f>
        <v/>
      </c>
      <c r="C16" s="1" t="str">
        <f aca="false">IF(A16="","",MOD(A16-1,4)+1)</f>
        <v/>
      </c>
      <c r="D16" s="25"/>
      <c r="E16" s="25"/>
      <c r="F16" s="25"/>
      <c r="G16" s="25"/>
      <c r="H16" s="25"/>
      <c r="I16" s="25"/>
      <c r="J16" s="26" t="str">
        <f aca="false">IF(A16="","",MAX(0,J15+IFERROR(VLOOKUP(H16,Données!$B$2:$R$33,3,FALSE()),0)-(2+IF(IFERROR(VLOOKUP(H16,Données!$B$2:$R$33,3,FALSE()),0)&gt;0,1,0))))</f>
        <v/>
      </c>
      <c r="K16" s="26" t="str">
        <f aca="false">IF(A16="","",MAX(0,K15+E16+IF($B$2="Manufacture Belvaux",1,0)+IFERROR(VLOOKUP(I16,Données!$B$44:$L$57,4,FALSE()),0)-(COUNTIF($G$7:G7,"Commercial Junior")+COUNTIF($G$7:G7,"Commercial Senior")+COUNTIF($G$7:G7,"Directrice Commerciale"))*2-IF($B$2="Azura Commerce",1,0)+IFERROR(VLOOKUP(H16,Données!$B$2:$V$38,19,FALSE()),0)+SUMPRODUCT(IFERROR(VLOOKUP($H$7:H16,Données!$B$2:$V$38,20,FALSE()),0))))</f>
        <v/>
      </c>
      <c r="L16" s="26" t="str">
        <f aca="false">IF(A16="","",L15+D16-IF(F16="Comptant",E16,0)+COUNTIF($G$7:G16,"Commercial Junior")*4+IF($B$2="Véloce Transports",COUNTIF($G$7:G16,"Commercial Senior")*6,0)+IF($B$2="Azura Commerce",2,0)+M15+IFERROR(VLOOKUP(H16,Données!$B$2:$R$33,4,FALSE()),0)+SUMPRODUCT(IFERROR(VLOOKUP($H$7:H16,Données!$B$2:$R$33,10,FALSE()),0))+IFERROR(VLOOKUP(I16,Données!$B$39:$L$52,3,FALSE()),0)-(COUNTIF($G$7:G16,"Commercial Junior")*1+COUNTIF($G$7:G16,"Commercial Senior")*2+COUNTIF($G$7:G16,"Directrice Commerciale")*3)-IF(MOD(A16-1,4)=0,MAX(1,ROUND(P15*0.05,0)),0)+IF($B$2="Synergia Lab",1,0))</f>
        <v/>
      </c>
      <c r="M16" s="26" t="str">
        <f aca="false">IF(A16="","",N15+IF($B$2&lt;&gt;"Véloce Transports",COUNTIF($G$7:G16,"Commercial Senior")*6,0))</f>
        <v/>
      </c>
      <c r="N16" s="26" t="str">
        <f aca="false">IF(A16="","",COUNTIF($G$7:G16,"Directrice Commerciale")*8+IFERROR(VLOOKUP(I16,Données!$B$39:$L$52,10,FALSE()),0))</f>
        <v/>
      </c>
      <c r="O16" s="26" t="str">
        <f aca="false">IF(A16="","",O15+IF(F16="Crédit",E16,0))</f>
        <v/>
      </c>
      <c r="P16" s="26" t="str">
        <f aca="false">IF(A16="","",P15+D16+IFERROR(VLOOKUP(H16,Données!$B$2:$R$33,5,FALSE()),0))</f>
        <v/>
      </c>
      <c r="Q16" s="26" t="str">
        <f aca="false">IF(A16="","",Q15+IFERROR(VLOOKUP(H16,Données!$B$2:$R$33,6,FALSE()),0))</f>
        <v/>
      </c>
      <c r="R16" s="27" t="str">
        <f aca="false">IF(A16="","",J16+K16+MAX(0,L16)+M16+N16)</f>
        <v/>
      </c>
      <c r="S16" s="27" t="str">
        <f aca="false">IF(A16="","",Q16+P16+O16+MAX(0,-L16)+T16)</f>
        <v/>
      </c>
      <c r="T16" s="27" t="str">
        <f aca="false">IF(A16="","",R16-Q16-P16-O16-MAX(0,-L16))</f>
        <v/>
      </c>
      <c r="U16" s="27" t="str">
        <f aca="false">IF(A16="","",IF(ABS(R16-S16)&lt;0.01,"✓","⚠"))</f>
        <v/>
      </c>
      <c r="V16" s="28" t="str">
        <f aca="false">IF(A16="","",V15+COUNTIF($G$7:G7,"Commercial Junior")*4+COUNTIF($G$7:G7,"Commercial Senior")*6+COUNTIF($G$7:G7,"Directrice Commerciale")*8+IF($B$2="Azura Commerce",2,0)+IFERROR(VLOOKUP(I16,Données!$B$44:$L$57,2,FALSE()),0))</f>
        <v/>
      </c>
      <c r="W16" s="28" t="str">
        <f aca="false">IF(A16="","",W15+(COUNTIF($G$7:G7,"Commercial Junior")+COUNTIF($G$7:G7,"Commercial Senior")+COUNTIF($G$7:G7,"Directrice Commerciale"))*2+IF($B$2="Azura Commerce",1,0)+IFERROR(VLOOKUP(I16,Données!$B$44:$L$57,5,FALSE()),0)+SUMPRODUCT(IFERROR(VLOOKUP($H$7:H16,Données!$B$2:$V$38,22,FALSE()),0)))</f>
        <v/>
      </c>
      <c r="X16" s="28" t="str">
        <f aca="false">IF(A16="","",X15+COUNTIF($G$7:G7,"Commercial Junior")*1+COUNTIF($G$7:G7,"Commercial Senior")*2+COUNTIF($G$7:G7,"Directrice Commerciale")*3+SUMPRODUCT(IFERROR(VLOOKUP($H$7:H16,Données!$B$2:$V$38,12,FALSE()),0)))</f>
        <v/>
      </c>
      <c r="Y16" s="28" t="str">
        <f aca="false">IF(A16="","",Y15+IF(MOD(A16-1,4)=0,MAX(1,ROUND(P15*0.05,0)),0)+SUMPRODUCT(IFERROR(VLOOKUP($H$7:H16,Données!$B$2:$V$38,11,FALSE()),0)))</f>
        <v/>
      </c>
      <c r="Z16" s="28" t="str">
        <f aca="false">IF(A16="","",MAX(0,Z15+MIN(J15+IFERROR(VLOOKUP(H16,Données!$B$2:$V$38,3,FALSE()),0),2+IF(IFERROR(VLOOKUP(H16,Données!$B$2:$V$38,3,FALSE()),0)&gt;0,1,0))+SUMPRODUCT(IFERROR(VLOOKUP($H$7:H16,Données!$B$2:$V$38,21,FALSE()),0))))</f>
        <v/>
      </c>
      <c r="AA16" s="28" t="str">
        <f aca="false">IF(A16="","",AA15+IFERROR(VLOOKUP(I16,Données!$B$39:$L$52,8,FALSE()),0)+SUMPRODUCT(IFERROR(VLOOKUP($H$7:H16,Données!$B$2:$R$33,13,FALSE()),0)))</f>
        <v/>
      </c>
      <c r="AB16" s="28" t="str">
        <f aca="false">IF(A16="","",AB15+IFERROR(VLOOKUP(I16,Données!$B$39:$L$52,6,FALSE()),0)+IFERROR(VLOOKUP(I16,Données!$B$39:$L$52,7,FALSE()),0))</f>
        <v/>
      </c>
      <c r="AC16" s="28" t="str">
        <f aca="false">IF(A16="","",V16-W16-X16-Y16-Z16+AA16-AB16)</f>
        <v/>
      </c>
      <c r="AD16" s="29" t="str">
        <f aca="false">IF(A16="","",T16*3+J16*2+MAX(0,L16)+Q16-MAX(0,-L16))</f>
        <v/>
      </c>
      <c r="AE16" s="30" t="str">
        <f aca="false">IF(A16="","",L16-L15)</f>
        <v/>
      </c>
      <c r="AF16" s="30" t="str">
        <f aca="false">IF(A16="","",T16-T15)</f>
        <v/>
      </c>
      <c r="AG16" s="30" t="str">
        <f aca="false">IF(A16="","",V16-V15)</f>
        <v/>
      </c>
      <c r="AH16" s="30" t="str">
        <f aca="false">IF(A16="","",W16+X16+Y16+Z16-W15-X15-Y15-Z15)</f>
        <v/>
      </c>
    </row>
    <row r="17" customFormat="false" ht="19.5" hidden="false" customHeight="true" outlineLevel="0" collapsed="false">
      <c r="A17" s="1" t="str">
        <f aca="false">IF(A6+11&lt;=$E$2,11,"")</f>
        <v/>
      </c>
      <c r="B17" s="1" t="str">
        <f aca="false">IF(A17="","",QUOTIENT(A17-1,4)+1)</f>
        <v/>
      </c>
      <c r="C17" s="1" t="str">
        <f aca="false">IF(A17="","",MOD(A17-1,4)+1)</f>
        <v/>
      </c>
      <c r="D17" s="25"/>
      <c r="E17" s="25"/>
      <c r="F17" s="25"/>
      <c r="G17" s="25"/>
      <c r="H17" s="25"/>
      <c r="I17" s="25"/>
      <c r="J17" s="26" t="str">
        <f aca="false">IF(A17="","",MAX(0,J16+IFERROR(VLOOKUP(H17,Données!$B$2:$R$33,3,FALSE()),0)-(2+IF(IFERROR(VLOOKUP(H17,Données!$B$2:$R$33,3,FALSE()),0)&gt;0,1,0))))</f>
        <v/>
      </c>
      <c r="K17" s="26" t="str">
        <f aca="false">IF(A17="","",MAX(0,K16+E17+IF($B$2="Manufacture Belvaux",1,0)+IFERROR(VLOOKUP(I17,Données!$B$44:$L$57,4,FALSE()),0)-(COUNTIF($G$7:G7,"Commercial Junior")+COUNTIF($G$7:G7,"Commercial Senior")+COUNTIF($G$7:G7,"Directrice Commerciale"))*2-IF($B$2="Azura Commerce",1,0)+IFERROR(VLOOKUP(H17,Données!$B$2:$V$38,19,FALSE()),0)+SUMPRODUCT(IFERROR(VLOOKUP($H$7:H17,Données!$B$2:$V$38,20,FALSE()),0))))</f>
        <v/>
      </c>
      <c r="L17" s="26" t="str">
        <f aca="false">IF(A17="","",L16+D17-IF(F17="Comptant",E17,0)+COUNTIF($G$7:G17,"Commercial Junior")*4+IF($B$2="Véloce Transports",COUNTIF($G$7:G17,"Commercial Senior")*6,0)+IF($B$2="Azura Commerce",2,0)+M16+IFERROR(VLOOKUP(H17,Données!$B$2:$R$33,4,FALSE()),0)+SUMPRODUCT(IFERROR(VLOOKUP($H$7:H17,Données!$B$2:$R$33,10,FALSE()),0))+IFERROR(VLOOKUP(I17,Données!$B$39:$L$52,3,FALSE()),0)-(COUNTIF($G$7:G17,"Commercial Junior")*1+COUNTIF($G$7:G17,"Commercial Senior")*2+COUNTIF($G$7:G17,"Directrice Commerciale")*3)-IF(MOD(A17-1,4)=0,MAX(1,ROUND(P16*0.05,0)),0)+IF($B$2="Synergia Lab",1,0))</f>
        <v/>
      </c>
      <c r="M17" s="26" t="str">
        <f aca="false">IF(A17="","",N16+IF($B$2&lt;&gt;"Véloce Transports",COUNTIF($G$7:G17,"Commercial Senior")*6,0))</f>
        <v/>
      </c>
      <c r="N17" s="26" t="str">
        <f aca="false">IF(A17="","",COUNTIF($G$7:G17,"Directrice Commerciale")*8+IFERROR(VLOOKUP(I17,Données!$B$39:$L$52,10,FALSE()),0))</f>
        <v/>
      </c>
      <c r="O17" s="26" t="str">
        <f aca="false">IF(A17="","",O16+IF(F17="Crédit",E17,0))</f>
        <v/>
      </c>
      <c r="P17" s="26" t="str">
        <f aca="false">IF(A17="","",P16+D17+IFERROR(VLOOKUP(H17,Données!$B$2:$R$33,5,FALSE()),0))</f>
        <v/>
      </c>
      <c r="Q17" s="26" t="str">
        <f aca="false">IF(A17="","",Q16+IFERROR(VLOOKUP(H17,Données!$B$2:$R$33,6,FALSE()),0))</f>
        <v/>
      </c>
      <c r="R17" s="27" t="str">
        <f aca="false">IF(A17="","",J17+K17+MAX(0,L17)+M17+N17)</f>
        <v/>
      </c>
      <c r="S17" s="27" t="str">
        <f aca="false">IF(A17="","",Q17+P17+O17+MAX(0,-L17)+T17)</f>
        <v/>
      </c>
      <c r="T17" s="27" t="str">
        <f aca="false">IF(A17="","",R17-Q17-P17-O17-MAX(0,-L17))</f>
        <v/>
      </c>
      <c r="U17" s="27" t="str">
        <f aca="false">IF(A17="","",IF(ABS(R17-S17)&lt;0.01,"✓","⚠"))</f>
        <v/>
      </c>
      <c r="V17" s="28" t="str">
        <f aca="false">IF(A17="","",V16+COUNTIF($G$7:G7,"Commercial Junior")*4+COUNTIF($G$7:G7,"Commercial Senior")*6+COUNTIF($G$7:G7,"Directrice Commerciale")*8+IF($B$2="Azura Commerce",2,0)+IFERROR(VLOOKUP(I17,Données!$B$44:$L$57,2,FALSE()),0))</f>
        <v/>
      </c>
      <c r="W17" s="28" t="str">
        <f aca="false">IF(A17="","",W16+(COUNTIF($G$7:G7,"Commercial Junior")+COUNTIF($G$7:G7,"Commercial Senior")+COUNTIF($G$7:G7,"Directrice Commerciale"))*2+IF($B$2="Azura Commerce",1,0)+IFERROR(VLOOKUP(I17,Données!$B$44:$L$57,5,FALSE()),0)+SUMPRODUCT(IFERROR(VLOOKUP($H$7:H17,Données!$B$2:$V$38,22,FALSE()),0)))</f>
        <v/>
      </c>
      <c r="X17" s="28" t="str">
        <f aca="false">IF(A17="","",X16+COUNTIF($G$7:G7,"Commercial Junior")*1+COUNTIF($G$7:G7,"Commercial Senior")*2+COUNTIF($G$7:G7,"Directrice Commerciale")*3+SUMPRODUCT(IFERROR(VLOOKUP($H$7:H17,Données!$B$2:$V$38,12,FALSE()),0)))</f>
        <v/>
      </c>
      <c r="Y17" s="28" t="str">
        <f aca="false">IF(A17="","",Y16+IF(MOD(A17-1,4)=0,MAX(1,ROUND(P16*0.05,0)),0)+SUMPRODUCT(IFERROR(VLOOKUP($H$7:H17,Données!$B$2:$V$38,11,FALSE()),0)))</f>
        <v/>
      </c>
      <c r="Z17" s="28" t="str">
        <f aca="false">IF(A17="","",MAX(0,Z16+MIN(J16+IFERROR(VLOOKUP(H17,Données!$B$2:$V$38,3,FALSE()),0),2+IF(IFERROR(VLOOKUP(H17,Données!$B$2:$V$38,3,FALSE()),0)&gt;0,1,0))+SUMPRODUCT(IFERROR(VLOOKUP($H$7:H17,Données!$B$2:$V$38,21,FALSE()),0))))</f>
        <v/>
      </c>
      <c r="AA17" s="28" t="str">
        <f aca="false">IF(A17="","",AA16+IFERROR(VLOOKUP(I17,Données!$B$39:$L$52,8,FALSE()),0)+SUMPRODUCT(IFERROR(VLOOKUP($H$7:H17,Données!$B$2:$R$33,13,FALSE()),0)))</f>
        <v/>
      </c>
      <c r="AB17" s="28" t="str">
        <f aca="false">IF(A17="","",AB16+IFERROR(VLOOKUP(I17,Données!$B$39:$L$52,6,FALSE()),0)+IFERROR(VLOOKUP(I17,Données!$B$39:$L$52,7,FALSE()),0))</f>
        <v/>
      </c>
      <c r="AC17" s="28" t="str">
        <f aca="false">IF(A17="","",V17-W17-X17-Y17-Z17+AA17-AB17)</f>
        <v/>
      </c>
      <c r="AD17" s="29" t="str">
        <f aca="false">IF(A17="","",T17*3+J17*2+MAX(0,L17)+Q17-MAX(0,-L17))</f>
        <v/>
      </c>
      <c r="AE17" s="30" t="str">
        <f aca="false">IF(A17="","",L17-L16)</f>
        <v/>
      </c>
      <c r="AF17" s="30" t="str">
        <f aca="false">IF(A17="","",T17-T16)</f>
        <v/>
      </c>
      <c r="AG17" s="30" t="str">
        <f aca="false">IF(A17="","",V17-V16)</f>
        <v/>
      </c>
      <c r="AH17" s="30" t="str">
        <f aca="false">IF(A17="","",W17+X17+Y17+Z17-W16-X16-Y16-Z16)</f>
        <v/>
      </c>
    </row>
    <row r="18" customFormat="false" ht="19.5" hidden="false" customHeight="true" outlineLevel="0" collapsed="false">
      <c r="A18" s="1" t="str">
        <f aca="false">IF(A6+12&lt;=$E$2,12,"")</f>
        <v/>
      </c>
      <c r="B18" s="1" t="str">
        <f aca="false">IF(A18="","",QUOTIENT(A18-1,4)+1)</f>
        <v/>
      </c>
      <c r="C18" s="1" t="str">
        <f aca="false">IF(A18="","",MOD(A18-1,4)+1)</f>
        <v/>
      </c>
      <c r="D18" s="25"/>
      <c r="E18" s="25"/>
      <c r="F18" s="25"/>
      <c r="G18" s="25"/>
      <c r="H18" s="25"/>
      <c r="I18" s="25"/>
      <c r="J18" s="26" t="str">
        <f aca="false">IF(A18="","",MAX(0,J17+IFERROR(VLOOKUP(H18,Données!$B$2:$R$33,3,FALSE()),0)-(2+IF(IFERROR(VLOOKUP(H18,Données!$B$2:$R$33,3,FALSE()),0)&gt;0,1,0))))</f>
        <v/>
      </c>
      <c r="K18" s="26" t="str">
        <f aca="false">IF(A18="","",MAX(0,K17+E18+IF($B$2="Manufacture Belvaux",1,0)+IFERROR(VLOOKUP(I18,Données!$B$44:$L$57,4,FALSE()),0)-(COUNTIF($G$7:G7,"Commercial Junior")+COUNTIF($G$7:G7,"Commercial Senior")+COUNTIF($G$7:G7,"Directrice Commerciale"))*2-IF($B$2="Azura Commerce",1,0)+IFERROR(VLOOKUP(H18,Données!$B$2:$V$38,19,FALSE()),0)+SUMPRODUCT(IFERROR(VLOOKUP($H$7:H18,Données!$B$2:$V$38,20,FALSE()),0))))</f>
        <v/>
      </c>
      <c r="L18" s="26" t="str">
        <f aca="false">IF(A18="","",L17+D18-IF(F18="Comptant",E18,0)+COUNTIF($G$7:G18,"Commercial Junior")*4+IF($B$2="Véloce Transports",COUNTIF($G$7:G18,"Commercial Senior")*6,0)+IF($B$2="Azura Commerce",2,0)+M17+IFERROR(VLOOKUP(H18,Données!$B$2:$R$33,4,FALSE()),0)+SUMPRODUCT(IFERROR(VLOOKUP($H$7:H18,Données!$B$2:$R$33,10,FALSE()),0))+IFERROR(VLOOKUP(I18,Données!$B$39:$L$52,3,FALSE()),0)-(COUNTIF($G$7:G18,"Commercial Junior")*1+COUNTIF($G$7:G18,"Commercial Senior")*2+COUNTIF($G$7:G18,"Directrice Commerciale")*3)-IF(MOD(A18-1,4)=0,MAX(1,ROUND(P17*0.05,0)),0)+IF($B$2="Synergia Lab",1,0))</f>
        <v/>
      </c>
      <c r="M18" s="26" t="str">
        <f aca="false">IF(A18="","",N17+IF($B$2&lt;&gt;"Véloce Transports",COUNTIF($G$7:G18,"Commercial Senior")*6,0))</f>
        <v/>
      </c>
      <c r="N18" s="26" t="str">
        <f aca="false">IF(A18="","",COUNTIF($G$7:G18,"Directrice Commerciale")*8+IFERROR(VLOOKUP(I18,Données!$B$39:$L$52,10,FALSE()),0))</f>
        <v/>
      </c>
      <c r="O18" s="26" t="str">
        <f aca="false">IF(A18="","",O17+IF(F18="Crédit",E18,0))</f>
        <v/>
      </c>
      <c r="P18" s="26" t="str">
        <f aca="false">IF(A18="","",P17+D18+IFERROR(VLOOKUP(H18,Données!$B$2:$R$33,5,FALSE()),0))</f>
        <v/>
      </c>
      <c r="Q18" s="26" t="str">
        <f aca="false">IF(A18="","",Q17+IFERROR(VLOOKUP(H18,Données!$B$2:$R$33,6,FALSE()),0))</f>
        <v/>
      </c>
      <c r="R18" s="27" t="str">
        <f aca="false">IF(A18="","",J18+K18+MAX(0,L18)+M18+N18)</f>
        <v/>
      </c>
      <c r="S18" s="27" t="str">
        <f aca="false">IF(A18="","",Q18+P18+O18+MAX(0,-L18)+T18)</f>
        <v/>
      </c>
      <c r="T18" s="27" t="str">
        <f aca="false">IF(A18="","",R18-Q18-P18-O18-MAX(0,-L18))</f>
        <v/>
      </c>
      <c r="U18" s="27" t="str">
        <f aca="false">IF(A18="","",IF(ABS(R18-S18)&lt;0.01,"✓","⚠"))</f>
        <v/>
      </c>
      <c r="V18" s="28" t="str">
        <f aca="false">IF(A18="","",V17+COUNTIF($G$7:G7,"Commercial Junior")*4+COUNTIF($G$7:G7,"Commercial Senior")*6+COUNTIF($G$7:G7,"Directrice Commerciale")*8+IF($B$2="Azura Commerce",2,0)+IFERROR(VLOOKUP(I18,Données!$B$44:$L$57,2,FALSE()),0))</f>
        <v/>
      </c>
      <c r="W18" s="28" t="str">
        <f aca="false">IF(A18="","",W17+(COUNTIF($G$7:G7,"Commercial Junior")+COUNTIF($G$7:G7,"Commercial Senior")+COUNTIF($G$7:G7,"Directrice Commerciale"))*2+IF($B$2="Azura Commerce",1,0)+IFERROR(VLOOKUP(I18,Données!$B$44:$L$57,5,FALSE()),0)+SUMPRODUCT(IFERROR(VLOOKUP($H$7:H18,Données!$B$2:$V$38,22,FALSE()),0)))</f>
        <v/>
      </c>
      <c r="X18" s="28" t="str">
        <f aca="false">IF(A18="","",X17+COUNTIF($G$7:G7,"Commercial Junior")*1+COUNTIF($G$7:G7,"Commercial Senior")*2+COUNTIF($G$7:G7,"Directrice Commerciale")*3+SUMPRODUCT(IFERROR(VLOOKUP($H$7:H18,Données!$B$2:$V$38,12,FALSE()),0)))</f>
        <v/>
      </c>
      <c r="Y18" s="28" t="str">
        <f aca="false">IF(A18="","",Y17+IF(MOD(A18-1,4)=0,MAX(1,ROUND(P17*0.05,0)),0)+SUMPRODUCT(IFERROR(VLOOKUP($H$7:H18,Données!$B$2:$V$38,11,FALSE()),0)))</f>
        <v/>
      </c>
      <c r="Z18" s="28" t="str">
        <f aca="false">IF(A18="","",MAX(0,Z17+MIN(J17+IFERROR(VLOOKUP(H18,Données!$B$2:$V$38,3,FALSE()),0),2+IF(IFERROR(VLOOKUP(H18,Données!$B$2:$V$38,3,FALSE()),0)&gt;0,1,0))+SUMPRODUCT(IFERROR(VLOOKUP($H$7:H18,Données!$B$2:$V$38,21,FALSE()),0))))</f>
        <v/>
      </c>
      <c r="AA18" s="28" t="str">
        <f aca="false">IF(A18="","",AA17+IFERROR(VLOOKUP(I18,Données!$B$39:$L$52,8,FALSE()),0)+SUMPRODUCT(IFERROR(VLOOKUP($H$7:H18,Données!$B$2:$R$33,13,FALSE()),0)))</f>
        <v/>
      </c>
      <c r="AB18" s="28" t="str">
        <f aca="false">IF(A18="","",AB17+IFERROR(VLOOKUP(I18,Données!$B$39:$L$52,6,FALSE()),0)+IFERROR(VLOOKUP(I18,Données!$B$39:$L$52,7,FALSE()),0))</f>
        <v/>
      </c>
      <c r="AC18" s="28" t="str">
        <f aca="false">IF(A18="","",V18-W18-X18-Y18-Z18+AA18-AB18)</f>
        <v/>
      </c>
      <c r="AD18" s="29" t="str">
        <f aca="false">IF(A18="","",T18*3+J18*2+MAX(0,L18)+Q18-MAX(0,-L18))</f>
        <v/>
      </c>
      <c r="AE18" s="30" t="str">
        <f aca="false">IF(A18="","",L18-L17)</f>
        <v/>
      </c>
      <c r="AF18" s="30" t="str">
        <f aca="false">IF(A18="","",T18-T17)</f>
        <v/>
      </c>
      <c r="AG18" s="30" t="str">
        <f aca="false">IF(A18="","",V18-V17)</f>
        <v/>
      </c>
      <c r="AH18" s="30" t="str">
        <f aca="false">IF(A18="","",W18+X18+Y18+Z18-W17-X17-Y17-Z17)</f>
        <v/>
      </c>
    </row>
  </sheetData>
  <mergeCells count="7">
    <mergeCell ref="A1:AH1"/>
    <mergeCell ref="A4:C4"/>
    <mergeCell ref="D4:I4"/>
    <mergeCell ref="J4:Q4"/>
    <mergeCell ref="R4:U4"/>
    <mergeCell ref="V4:AC4"/>
    <mergeCell ref="AE4:AH4"/>
  </mergeCells>
  <conditionalFormatting sqref="L7:L18">
    <cfRule type="cellIs" priority="2" operator="lessThan" aboveAverage="0" equalAverage="0" bottom="0" percent="0" rank="0" text="" dxfId="0">
      <formula>0</formula>
    </cfRule>
    <cfRule type="cellIs" priority="3" operator="greaterThanOrEqual" aboveAverage="0" equalAverage="0" bottom="0" percent="0" rank="0" text="" dxfId="1">
      <formula>10</formula>
    </cfRule>
    <cfRule type="cellIs" priority="4" operator="between" aboveAverage="0" equalAverage="0" bottom="0" percent="0" rank="0" text="" dxfId="2">
      <formula>0</formula>
      <formula>10</formula>
    </cfRule>
  </conditionalFormatting>
  <conditionalFormatting sqref="T7:T18">
    <cfRule type="cellIs" priority="5" operator="lessThan" aboveAverage="0" equalAverage="0" bottom="0" percent="0" rank="0" text="" dxfId="3">
      <formula>0</formula>
    </cfRule>
    <cfRule type="cellIs" priority="6" operator="greaterThan" aboveAverage="0" equalAverage="0" bottom="0" percent="0" rank="0" text="" dxfId="4">
      <formula>0</formula>
    </cfRule>
  </conditionalFormatting>
  <conditionalFormatting sqref="AD7:AD18">
    <cfRule type="colorScale" priority="7">
      <colorScale>
        <cfvo type="min" val="0"/>
        <cfvo type="percentile" val="50"/>
        <cfvo type="max" val="0"/>
        <color rgb="FFFF0000"/>
        <color rgb="FFFFFF00"/>
        <color rgb="FF00B050"/>
      </colorScale>
    </cfRule>
  </conditionalFormatting>
  <conditionalFormatting sqref="AE7:AE18">
    <cfRule type="cellIs" priority="8" operator="lessThan" aboveAverage="0" equalAverage="0" bottom="0" percent="0" rank="0" text="" dxfId="3">
      <formula>0</formula>
    </cfRule>
    <cfRule type="cellIs" priority="9" operator="greaterThan" aboveAverage="0" equalAverage="0" bottom="0" percent="0" rank="0" text="" dxfId="4">
      <formula>0</formula>
    </cfRule>
  </conditionalFormatting>
  <conditionalFormatting sqref="AF7:AF18">
    <cfRule type="cellIs" priority="10" operator="lessThan" aboveAverage="0" equalAverage="0" bottom="0" percent="0" rank="0" text="" dxfId="3">
      <formula>0</formula>
    </cfRule>
    <cfRule type="cellIs" priority="11" operator="greaterThan" aboveAverage="0" equalAverage="0" bottom="0" percent="0" rank="0" text="" dxfId="4">
      <formula>0</formula>
    </cfRule>
  </conditionalFormatting>
  <conditionalFormatting sqref="U7:U18">
    <cfRule type="expression" priority="12" aboveAverage="0" equalAverage="0" bottom="0" percent="0" rank="0" text="" dxfId="5">
      <formula>U7="✓"</formula>
    </cfRule>
    <cfRule type="expression" priority="13" aboveAverage="0" equalAverage="0" bottom="0" percent="0" rank="0" text="" dxfId="0">
      <formula>U7="⚠"</formula>
    </cfRule>
  </conditionalFormatting>
  <dataValidations count="50">
    <dataValidation allowBlank="false" errorStyle="stop" operator="between" showDropDown="false" showErrorMessage="false" showInputMessage="false" sqref="B2" type="list">
      <formula1>"Manufacture Belvaux,Véloce Transports,Azura Commerce,Synergia Lab"</formula1>
      <formula2>0</formula2>
    </dataValidation>
    <dataValidation allowBlank="false" errorStyle="stop" operator="between" showDropDown="false" showErrorMessage="false" showInputMessage="false" sqref="E2" type="list">
      <formula1>"6,8,10,12"</formula1>
      <formula2>0</formula2>
    </dataValidation>
    <dataValidation allowBlank="true" errorStyle="stop" operator="between" showDropDown="false" showErrorMessage="false" showInputMessage="false" sqref="F7" type="list">
      <formula1>"Comptant,Crédit"</formula1>
      <formula2>0</formula2>
    </dataValidation>
    <dataValidation allowBlank="true" errorStyle="stop" operator="between" showDropDown="false" showErrorMessage="false" showInputMessage="false" sqref="G7" type="list">
      <formula1>"Aucun,Commercial Junior,Commercial Senior,Directrice Commerciale"</formula1>
      <formula2>0</formula2>
    </dataValidation>
    <dataValidation allowBlank="true" errorStyle="stop" operator="between" showDropDown="false" showErrorMessage="false" showInputMessage="false" sqref="I7" type="list">
      <formula1>"Aucun,Client VIP,Contrôle Fiscal,Subvention Innovation,Placement Financier,Crise Sanitaire,Incendie,Grève,Bouche à Oreille,Perte de Données,Développement Durable,Prix PME,Rupture Fournisseur,Litige Commercial"</formula1>
      <formula2>0</formula2>
    </dataValidation>
    <dataValidation allowBlank="true" errorStyle="stop" operator="between" showDropDown="false" showErrorMessage="false" showInputMessage="false" sqref="F8" type="list">
      <formula1>"Comptant,Crédit"</formula1>
      <formula2>0</formula2>
    </dataValidation>
    <dataValidation allowBlank="true" errorStyle="stop" operator="between" showDropDown="false" showErrorMessage="false" showInputMessage="false" sqref="G8" type="list">
      <formula1>"Aucun,Commercial Junior,Commercial Senior,Directrice Commerciale"</formula1>
      <formula2>0</formula2>
    </dataValidation>
    <dataValidation allowBlank="true" errorStyle="stop" operator="between" showDropDown="false" showErrorMessage="false" showInputMessage="false" sqref="I8" type="list">
      <formula1>"Aucun,Client VIP,Contrôle Fiscal,Subvention Innovation,Placement Financier,Crise Sanitaire,Incendie,Grève,Bouche à Oreille,Perte de Données,Développement Durable,Prix PME,Rupture Fournisseur,Litige Commercial"</formula1>
      <formula2>0</formula2>
    </dataValidation>
    <dataValidation allowBlank="true" errorStyle="stop" operator="between" showDropDown="false" showErrorMessage="false" showInputMessage="false" sqref="F9" type="list">
      <formula1>"Comptant,Crédit"</formula1>
      <formula2>0</formula2>
    </dataValidation>
    <dataValidation allowBlank="true" errorStyle="stop" operator="between" showDropDown="false" showErrorMessage="false" showInputMessage="false" sqref="G9" type="list">
      <formula1>"Aucun,Commercial Junior,Commercial Senior,Directrice Commerciale"</formula1>
      <formula2>0</formula2>
    </dataValidation>
    <dataValidation allowBlank="true" errorStyle="stop" operator="between" showDropDown="false" showErrorMessage="false" showInputMessage="false" sqref="I9" type="list">
      <formula1>"Aucun,Client VIP,Contrôle Fiscal,Subvention Innovation,Placement Financier,Crise Sanitaire,Incendie,Grève,Bouche à Oreille,Perte de Données,Développement Durable,Prix PME,Rupture Fournisseur,Litige Commercial"</formula1>
      <formula2>0</formula2>
    </dataValidation>
    <dataValidation allowBlank="true" errorStyle="stop" operator="between" showDropDown="false" showErrorMessage="false" showInputMessage="false" sqref="F10" type="list">
      <formula1>"Comptant,Crédit"</formula1>
      <formula2>0</formula2>
    </dataValidation>
    <dataValidation allowBlank="true" errorStyle="stop" operator="between" showDropDown="false" showErrorMessage="false" showInputMessage="false" sqref="G10" type="list">
      <formula1>"Aucun,Commercial Junior,Commercial Senior,Directrice Commerciale"</formula1>
      <formula2>0</formula2>
    </dataValidation>
    <dataValidation allowBlank="true" errorStyle="stop" operator="between" showDropDown="false" showErrorMessage="false" showInputMessage="false" sqref="I10" type="list">
      <formula1>"Aucun,Client VIP,Contrôle Fiscal,Subvention Innovation,Placement Financier,Crise Sanitaire,Incendie,Grève,Bouche à Oreille,Perte de Données,Développement Durable,Prix PME,Rupture Fournisseur,Litige Commercial"</formula1>
      <formula2>0</formula2>
    </dataValidation>
    <dataValidation allowBlank="true" errorStyle="stop" operator="between" showDropDown="false" showErrorMessage="false" showInputMessage="false" sqref="F11" type="list">
      <formula1>"Comptant,Crédit"</formula1>
      <formula2>0</formula2>
    </dataValidation>
    <dataValidation allowBlank="true" errorStyle="stop" operator="between" showDropDown="false" showErrorMessage="false" showInputMessage="false" sqref="G11" type="list">
      <formula1>"Aucun,Commercial Junior,Commercial Senior,Directrice Commerciale"</formula1>
      <formula2>0</formula2>
    </dataValidation>
    <dataValidation allowBlank="true" errorStyle="stop" operator="between" showDropDown="false" showErrorMessage="false" showInputMessage="false" sqref="I11" type="list">
      <formula1>"Aucun,Client VIP,Contrôle Fiscal,Subvention Innovation,Placement Financier,Crise Sanitaire,Incendie,Grève,Bouche à Oreille,Perte de Données,Développement Durable,Prix PME,Rupture Fournisseur,Litige Commercial"</formula1>
      <formula2>0</formula2>
    </dataValidation>
    <dataValidation allowBlank="true" errorStyle="stop" operator="between" showDropDown="false" showErrorMessage="false" showInputMessage="false" sqref="F12" type="list">
      <formula1>"Comptant,Crédit"</formula1>
      <formula2>0</formula2>
    </dataValidation>
    <dataValidation allowBlank="true" errorStyle="stop" operator="between" showDropDown="false" showErrorMessage="false" showInputMessage="false" sqref="G12" type="list">
      <formula1>"Aucun,Commercial Junior,Commercial Senior,Directrice Commerciale"</formula1>
      <formula2>0</formula2>
    </dataValidation>
    <dataValidation allowBlank="true" errorStyle="stop" operator="between" showDropDown="false" showErrorMessage="false" showInputMessage="false" sqref="I12" type="list">
      <formula1>"Aucun,Client VIP,Contrôle Fiscal,Subvention Innovation,Placement Financier,Crise Sanitaire,Incendie,Grève,Bouche à Oreille,Perte de Données,Développement Durable,Prix PME,Rupture Fournisseur,Litige Commercial"</formula1>
      <formula2>0</formula2>
    </dataValidation>
    <dataValidation allowBlank="true" errorStyle="stop" operator="between" showDropDown="false" showErrorMessage="false" showInputMessage="false" sqref="F13" type="list">
      <formula1>"Comptant,Crédit"</formula1>
      <formula2>0</formula2>
    </dataValidation>
    <dataValidation allowBlank="true" errorStyle="stop" operator="between" showDropDown="false" showErrorMessage="false" showInputMessage="false" sqref="G13" type="list">
      <formula1>"Aucun,Commercial Junior,Commercial Senior,Directrice Commerciale"</formula1>
      <formula2>0</formula2>
    </dataValidation>
    <dataValidation allowBlank="true" errorStyle="stop" operator="between" showDropDown="false" showErrorMessage="false" showInputMessage="false" sqref="I13" type="list">
      <formula1>"Aucun,Client VIP,Contrôle Fiscal,Subvention Innovation,Placement Financier,Crise Sanitaire,Incendie,Grève,Bouche à Oreille,Perte de Données,Développement Durable,Prix PME,Rupture Fournisseur,Litige Commercial"</formula1>
      <formula2>0</formula2>
    </dataValidation>
    <dataValidation allowBlank="true" errorStyle="stop" operator="between" showDropDown="false" showErrorMessage="false" showInputMessage="false" sqref="F14" type="list">
      <formula1>"Comptant,Crédit"</formula1>
      <formula2>0</formula2>
    </dataValidation>
    <dataValidation allowBlank="true" errorStyle="stop" operator="between" showDropDown="false" showErrorMessage="false" showInputMessage="false" sqref="G14" type="list">
      <formula1>"Aucun,Commercial Junior,Commercial Senior,Directrice Commerciale"</formula1>
      <formula2>0</formula2>
    </dataValidation>
    <dataValidation allowBlank="true" errorStyle="stop" operator="between" showDropDown="false" showErrorMessage="false" showInputMessage="false" sqref="I14" type="list">
      <formula1>"Aucun,Client VIP,Contrôle Fiscal,Subvention Innovation,Placement Financier,Crise Sanitaire,Incendie,Grève,Bouche à Oreille,Perte de Données,Développement Durable,Prix PME,Rupture Fournisseur,Litige Commercial"</formula1>
      <formula2>0</formula2>
    </dataValidation>
    <dataValidation allowBlank="true" errorStyle="stop" operator="between" showDropDown="false" showErrorMessage="false" showInputMessage="false" sqref="F15" type="list">
      <formula1>"Comptant,Crédit"</formula1>
      <formula2>0</formula2>
    </dataValidation>
    <dataValidation allowBlank="true" errorStyle="stop" operator="between" showDropDown="false" showErrorMessage="false" showInputMessage="false" sqref="G15" type="list">
      <formula1>"Aucun,Commercial Junior,Commercial Senior,Directrice Commerciale"</formula1>
      <formula2>0</formula2>
    </dataValidation>
    <dataValidation allowBlank="true" errorStyle="stop" operator="between" showDropDown="false" showErrorMessage="false" showInputMessage="false" sqref="I15" type="list">
      <formula1>"Aucun,Client VIP,Contrôle Fiscal,Subvention Innovation,Placement Financier,Crise Sanitaire,Incendie,Grève,Bouche à Oreille,Perte de Données,Développement Durable,Prix PME,Rupture Fournisseur,Litige Commercial"</formula1>
      <formula2>0</formula2>
    </dataValidation>
    <dataValidation allowBlank="true" errorStyle="stop" operator="between" showDropDown="false" showErrorMessage="false" showInputMessage="false" sqref="F16" type="list">
      <formula1>"Comptant,Crédit"</formula1>
      <formula2>0</formula2>
    </dataValidation>
    <dataValidation allowBlank="true" errorStyle="stop" operator="between" showDropDown="false" showErrorMessage="false" showInputMessage="false" sqref="G16" type="list">
      <formula1>"Aucun,Commercial Junior,Commercial Senior,Directrice Commerciale"</formula1>
      <formula2>0</formula2>
    </dataValidation>
    <dataValidation allowBlank="true" errorStyle="stop" operator="between" showDropDown="false" showErrorMessage="false" showInputMessage="false" sqref="I16" type="list">
      <formula1>"Aucun,Client VIP,Contrôle Fiscal,Subvention Innovation,Placement Financier,Crise Sanitaire,Incendie,Grève,Bouche à Oreille,Perte de Données,Développement Durable,Prix PME,Rupture Fournisseur,Litige Commercial"</formula1>
      <formula2>0</formula2>
    </dataValidation>
    <dataValidation allowBlank="true" errorStyle="stop" operator="between" showDropDown="false" showErrorMessage="false" showInputMessage="false" sqref="F17" type="list">
      <formula1>"Comptant,Crédit"</formula1>
      <formula2>0</formula2>
    </dataValidation>
    <dataValidation allowBlank="true" errorStyle="stop" operator="between" showDropDown="false" showErrorMessage="false" showInputMessage="false" sqref="G17" type="list">
      <formula1>"Aucun,Commercial Junior,Commercial Senior,Directrice Commerciale"</formula1>
      <formula2>0</formula2>
    </dataValidation>
    <dataValidation allowBlank="true" errorStyle="stop" operator="between" showDropDown="false" showErrorMessage="false" showInputMessage="false" sqref="I17" type="list">
      <formula1>"Aucun,Client VIP,Contrôle Fiscal,Subvention Innovation,Placement Financier,Crise Sanitaire,Incendie,Grève,Bouche à Oreille,Perte de Données,Développement Durable,Prix PME,Rupture Fournisseur,Litige Commercial"</formula1>
      <formula2>0</formula2>
    </dataValidation>
    <dataValidation allowBlank="true" errorStyle="stop" operator="between" showDropDown="false" showErrorMessage="false" showInputMessage="false" sqref="F18" type="list">
      <formula1>"Comptant,Crédit"</formula1>
      <formula2>0</formula2>
    </dataValidation>
    <dataValidation allowBlank="true" errorStyle="stop" operator="between" showDropDown="false" showErrorMessage="false" showInputMessage="false" sqref="G18" type="list">
      <formula1>"Aucun,Commercial Junior,Commercial Senior,Directrice Commerciale"</formula1>
      <formula2>0</formula2>
    </dataValidation>
    <dataValidation allowBlank="true" errorStyle="stop" operator="between" showDropDown="false" showErrorMessage="false" showInputMessage="false" sqref="I18" type="list">
      <formula1>"Aucun,Client VIP,Contrôle Fiscal,Subvention Innovation,Placement Financier,Crise Sanitaire,Incendie,Grève,Bouche à Oreille,Perte de Données,Développement Durable,Prix PME,Rupture Fournisseur,Litige Commercial"</formula1>
      <formula2>0</formula2>
    </dataValidation>
    <dataValidation allowBlank="true" error="Choisir une carte valide" errorStyle="stop" errorTitle="Carte invalide" operator="between" showDropDown="false" showErrorMessage="false" showInputMessage="false" sqref="H7" type="list">
      <formula1>"Aucun,Camionnette,Berline,Site Internet,RSE,R&amp;D,Expansion,Certification ISO,Application Mobile,Prêt Bancaire,Levée de Fonds,Crédit-Bail,Crowdfunding,Publicité,Relance Clients,Formation,Programme Fidélité,Export International,Partenariat Commercial,Affactu"</formula1>
      <formula2>0</formula2>
    </dataValidation>
    <dataValidation allowBlank="true" error="Choisir une carte valide" errorStyle="stop" errorTitle="Carte invalide" operator="between" showDropDown="false" showErrorMessage="false" showInputMessage="false" sqref="H8" type="list">
      <formula1>"Aucun,Camionnette,Berline,Site Internet,RSE,R&amp;D,Expansion,Certification ISO,Application Mobile,Prêt Bancaire,Levée de Fonds,Crédit-Bail,Crowdfunding,Publicité,Relance Clients,Formation,Programme Fidélité,Export International,Partenariat Commercial,Affactu"</formula1>
      <formula2>0</formula2>
    </dataValidation>
    <dataValidation allowBlank="true" error="Choisir une carte valide" errorStyle="stop" errorTitle="Carte invalide" operator="between" showDropDown="false" showErrorMessage="false" showInputMessage="false" sqref="H9" type="list">
      <formula1>"Aucun,Camionnette,Berline,Site Internet,RSE,R&amp;D,Expansion,Certification ISO,Application Mobile,Prêt Bancaire,Levée de Fonds,Crédit-Bail,Crowdfunding,Publicité,Relance Clients,Formation,Programme Fidélité,Export International,Partenariat Commercial,Affactu"</formula1>
      <formula2>0</formula2>
    </dataValidation>
    <dataValidation allowBlank="true" error="Choisir une carte valide" errorStyle="stop" errorTitle="Carte invalide" operator="between" showDropDown="false" showErrorMessage="false" showInputMessage="false" sqref="H10" type="list">
      <formula1>"Aucun,Camionnette,Berline,Site Internet,RSE,R&amp;D,Expansion,Certification ISO,Application Mobile,Prêt Bancaire,Levée de Fonds,Crédit-Bail,Crowdfunding,Publicité,Relance Clients,Formation,Programme Fidélité,Export International,Partenariat Commercial,Affactu"</formula1>
      <formula2>0</formula2>
    </dataValidation>
    <dataValidation allowBlank="true" error="Choisir une carte valide" errorStyle="stop" errorTitle="Carte invalide" operator="between" showDropDown="false" showErrorMessage="false" showInputMessage="false" sqref="H11" type="list">
      <formula1>"Aucun,Camionnette,Berline,Site Internet,RSE,R&amp;D,Expansion,Certification ISO,Application Mobile,Prêt Bancaire,Levée de Fonds,Crédit-Bail,Crowdfunding,Publicité,Relance Clients,Formation,Programme Fidélité,Export International,Partenariat Commercial,Affactu"</formula1>
      <formula2>0</formula2>
    </dataValidation>
    <dataValidation allowBlank="true" error="Choisir une carte valide" errorStyle="stop" errorTitle="Carte invalide" operator="between" showDropDown="false" showErrorMessage="false" showInputMessage="false" sqref="H12" type="list">
      <formula1>"Aucun,Camionnette,Berline,Site Internet,RSE,R&amp;D,Expansion,Certification ISO,Application Mobile,Prêt Bancaire,Levée de Fonds,Crédit-Bail,Crowdfunding,Publicité,Relance Clients,Formation,Programme Fidélité,Export International,Partenariat Commercial,Affactu"</formula1>
      <formula2>0</formula2>
    </dataValidation>
    <dataValidation allowBlank="true" error="Choisir une carte valide" errorStyle="stop" errorTitle="Carte invalide" operator="between" showDropDown="false" showErrorMessage="false" showInputMessage="false" sqref="H13" type="list">
      <formula1>"Aucun,Camionnette,Berline,Site Internet,RSE,R&amp;D,Expansion,Certification ISO,Application Mobile,Prêt Bancaire,Levée de Fonds,Crédit-Bail,Crowdfunding,Publicité,Relance Clients,Formation,Programme Fidélité,Export International,Partenariat Commercial,Affactu"</formula1>
      <formula2>0</formula2>
    </dataValidation>
    <dataValidation allowBlank="true" error="Choisir une carte valide" errorStyle="stop" errorTitle="Carte invalide" operator="between" showDropDown="false" showErrorMessage="false" showInputMessage="false" sqref="H14" type="list">
      <formula1>"Aucun,Camionnette,Berline,Site Internet,RSE,R&amp;D,Expansion,Certification ISO,Application Mobile,Prêt Bancaire,Levée de Fonds,Crédit-Bail,Crowdfunding,Publicité,Relance Clients,Formation,Programme Fidélité,Export International,Partenariat Commercial,Affactu"</formula1>
      <formula2>0</formula2>
    </dataValidation>
    <dataValidation allowBlank="true" error="Choisir une carte valide" errorStyle="stop" errorTitle="Carte invalide" operator="between" showDropDown="false" showErrorMessage="false" showInputMessage="false" sqref="H15" type="list">
      <formula1>"Aucun,Camionnette,Berline,Site Internet,RSE,R&amp;D,Expansion,Certification ISO,Application Mobile,Prêt Bancaire,Levée de Fonds,Crédit-Bail,Crowdfunding,Publicité,Relance Clients,Formation,Programme Fidélité,Export International,Partenariat Commercial,Affactu"</formula1>
      <formula2>0</formula2>
    </dataValidation>
    <dataValidation allowBlank="true" error="Choisir une carte valide" errorStyle="stop" errorTitle="Carte invalide" operator="between" showDropDown="false" showErrorMessage="false" showInputMessage="false" sqref="H16" type="list">
      <formula1>"Aucun,Camionnette,Berline,Site Internet,RSE,R&amp;D,Expansion,Certification ISO,Application Mobile,Prêt Bancaire,Levée de Fonds,Crédit-Bail,Crowdfunding,Publicité,Relance Clients,Formation,Programme Fidélité,Export International,Partenariat Commercial,Affactu"</formula1>
      <formula2>0</formula2>
    </dataValidation>
    <dataValidation allowBlank="true" error="Choisir une carte valide" errorStyle="stop" errorTitle="Carte invalide" operator="between" showDropDown="false" showErrorMessage="false" showInputMessage="false" sqref="H17" type="list">
      <formula1>"Aucun,Camionnette,Berline,Site Internet,RSE,R&amp;D,Expansion,Certification ISO,Application Mobile,Prêt Bancaire,Levée de Fonds,Crédit-Bail,Crowdfunding,Publicité,Relance Clients,Formation,Programme Fidélité,Export International,Partenariat Commercial,Affactu"</formula1>
      <formula2>0</formula2>
    </dataValidation>
    <dataValidation allowBlank="true" error="Choisir une carte valide" errorStyle="stop" errorTitle="Carte invalide" operator="between" showDropDown="false" showErrorMessage="false" showInputMessage="false" sqref="H18" type="list">
      <formula1>"Aucun,Camionnette,Berline,Site Internet,RSE,R&amp;D,Expansion,Certification ISO,Application Mobile,Prêt Bancaire,Levée de Fonds,Crédit-Bail,Crowdfunding,Publicité,Relance Clients,Formation,Programme Fidélité,Export International,Partenariat Commercial,Affactu"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2026-04-06T11:58:07Z</dcterms:created>
  <dc:creator>openpyxl</dc:creator>
  <dc:description/>
  <dc:language>en-US</dc:language>
  <cp:lastModifiedBy/>
  <dcterms:modified xsi:type="dcterms:W3CDTF">2026-04-06T15:02:54Z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